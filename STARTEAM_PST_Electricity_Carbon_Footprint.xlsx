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1_6F34E96A4104077FFB41316D2EB5C42B01E925D9"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Carbon Footprint" sheetId="2" r:id="rId2"/>
    <sheet name="Source Energy" sheetId="3" r:id="rId3"/>
    <sheet name="Reconciliation" sheetId="4" r:id="rId4"/>
    <sheet name="Methodolog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4" l="1"/>
  <c r="B22" i="4"/>
  <c r="F19" i="4"/>
  <c r="E19" i="4"/>
  <c r="C19" i="4"/>
  <c r="B19" i="4"/>
  <c r="D19" i="4" s="1"/>
  <c r="H18" i="4"/>
  <c r="G18" i="4"/>
  <c r="F18" i="4"/>
  <c r="E18" i="4"/>
  <c r="D18" i="4"/>
  <c r="C18" i="4"/>
  <c r="B18" i="4"/>
  <c r="G17" i="4"/>
  <c r="F17" i="4"/>
  <c r="E17" i="4"/>
  <c r="D17" i="4"/>
  <c r="H17" i="4" s="1"/>
  <c r="C17" i="4"/>
  <c r="B17" i="4"/>
  <c r="F16" i="4"/>
  <c r="E16" i="4"/>
  <c r="D16" i="4"/>
  <c r="H16" i="4" s="1"/>
  <c r="C16" i="4"/>
  <c r="B16" i="4"/>
  <c r="E15" i="4"/>
  <c r="D15" i="4"/>
  <c r="H15" i="4" s="1"/>
  <c r="C15" i="4"/>
  <c r="F15" i="4" s="1"/>
  <c r="B15" i="4"/>
  <c r="D14" i="4"/>
  <c r="H14" i="4" s="1"/>
  <c r="C14" i="4"/>
  <c r="F14" i="4" s="1"/>
  <c r="B14" i="4"/>
  <c r="E14" i="4" s="1"/>
  <c r="C13" i="4"/>
  <c r="F13" i="4" s="1"/>
  <c r="B13" i="4"/>
  <c r="E13" i="4" s="1"/>
  <c r="F12" i="4"/>
  <c r="C12" i="4"/>
  <c r="D12" i="4" s="1"/>
  <c r="B12" i="4"/>
  <c r="E12" i="4" s="1"/>
  <c r="F11" i="4"/>
  <c r="E11" i="4"/>
  <c r="C11" i="4"/>
  <c r="B11" i="4"/>
  <c r="D11" i="4" s="1"/>
  <c r="H10" i="4"/>
  <c r="G10" i="4"/>
  <c r="F10" i="4"/>
  <c r="E10" i="4"/>
  <c r="D10" i="4"/>
  <c r="C10" i="4"/>
  <c r="B10" i="4"/>
  <c r="G9" i="4"/>
  <c r="F9" i="4"/>
  <c r="E9" i="4"/>
  <c r="D9" i="4"/>
  <c r="H9" i="4" s="1"/>
  <c r="C9" i="4"/>
  <c r="B9" i="4"/>
  <c r="F8" i="4"/>
  <c r="E8" i="4"/>
  <c r="D8" i="4"/>
  <c r="H8" i="4" s="1"/>
  <c r="C8" i="4"/>
  <c r="B8" i="4"/>
  <c r="E7" i="4"/>
  <c r="D7" i="4"/>
  <c r="H7" i="4" s="1"/>
  <c r="C7" i="4"/>
  <c r="F7" i="4" s="1"/>
  <c r="B7" i="4"/>
  <c r="D6" i="4"/>
  <c r="H6" i="4" s="1"/>
  <c r="C6" i="4"/>
  <c r="F6" i="4" s="1"/>
  <c r="B6" i="4"/>
  <c r="E6" i="4" s="1"/>
  <c r="C5" i="4"/>
  <c r="F5" i="4" s="1"/>
  <c r="B5" i="4"/>
  <c r="E5" i="4" s="1"/>
  <c r="F4" i="4"/>
  <c r="C4" i="4"/>
  <c r="D4" i="4" s="1"/>
  <c r="B4" i="4"/>
  <c r="E4" i="4" s="1"/>
  <c r="O23" i="3"/>
  <c r="B24" i="4" s="1"/>
  <c r="N23" i="3"/>
  <c r="H23" i="3"/>
  <c r="G23" i="3"/>
  <c r="F23" i="3"/>
  <c r="O21" i="3"/>
  <c r="N21" i="3"/>
  <c r="M21" i="3"/>
  <c r="M23" i="3" s="1"/>
  <c r="L21" i="3"/>
  <c r="L23" i="3" s="1"/>
  <c r="K21" i="3"/>
  <c r="K23" i="3" s="1"/>
  <c r="J21" i="3"/>
  <c r="J23" i="3" s="1"/>
  <c r="I21" i="3"/>
  <c r="I23" i="3" s="1"/>
  <c r="H21" i="3"/>
  <c r="G21" i="3"/>
  <c r="F21" i="3"/>
  <c r="E21" i="3"/>
  <c r="E23" i="3" s="1"/>
  <c r="D21" i="3"/>
  <c r="D23" i="3" s="1"/>
  <c r="C21" i="3"/>
  <c r="C23" i="3" s="1"/>
  <c r="O22" i="2"/>
  <c r="N22" i="2"/>
  <c r="M22" i="2"/>
  <c r="L22" i="2"/>
  <c r="K22" i="2"/>
  <c r="J22" i="2"/>
  <c r="I22" i="2"/>
  <c r="H22" i="2"/>
  <c r="G22" i="2"/>
  <c r="F22" i="2"/>
  <c r="E22" i="2"/>
  <c r="D22" i="2"/>
  <c r="C22" i="2"/>
  <c r="N20" i="2"/>
  <c r="M20" i="2"/>
  <c r="L20" i="2"/>
  <c r="K20" i="2"/>
  <c r="J20" i="2"/>
  <c r="I20" i="2"/>
  <c r="H20" i="2"/>
  <c r="G20" i="2"/>
  <c r="O20" i="2" s="1"/>
  <c r="F20" i="2"/>
  <c r="E20" i="2"/>
  <c r="D20" i="2"/>
  <c r="C20" i="2"/>
  <c r="N19" i="2"/>
  <c r="M19" i="2"/>
  <c r="L19" i="2"/>
  <c r="K19" i="2"/>
  <c r="J19" i="2"/>
  <c r="I19" i="2"/>
  <c r="H19" i="2"/>
  <c r="G19" i="2"/>
  <c r="F19" i="2"/>
  <c r="E19" i="2"/>
  <c r="D19" i="2"/>
  <c r="C19" i="2"/>
  <c r="O19" i="2" s="1"/>
  <c r="N18" i="2"/>
  <c r="M18" i="2"/>
  <c r="L18" i="2"/>
  <c r="K18" i="2"/>
  <c r="J18" i="2"/>
  <c r="I18" i="2"/>
  <c r="H18" i="2"/>
  <c r="G18" i="2"/>
  <c r="F18" i="2"/>
  <c r="E18" i="2"/>
  <c r="D18" i="2"/>
  <c r="C18" i="2"/>
  <c r="O18" i="2" s="1"/>
  <c r="N17" i="2"/>
  <c r="M17" i="2"/>
  <c r="L17" i="2"/>
  <c r="K17" i="2"/>
  <c r="J17" i="2"/>
  <c r="I17" i="2"/>
  <c r="H17" i="2"/>
  <c r="G17" i="2"/>
  <c r="O17" i="2" s="1"/>
  <c r="F17" i="2"/>
  <c r="E17" i="2"/>
  <c r="D17" i="2"/>
  <c r="C17" i="2"/>
  <c r="N16" i="2"/>
  <c r="M16" i="2"/>
  <c r="L16" i="2"/>
  <c r="K16" i="2"/>
  <c r="J16" i="2"/>
  <c r="I16" i="2"/>
  <c r="H16" i="2"/>
  <c r="G16" i="2"/>
  <c r="F16" i="2"/>
  <c r="E16" i="2"/>
  <c r="D16" i="2"/>
  <c r="C16" i="2"/>
  <c r="O16" i="2" s="1"/>
  <c r="N15" i="2"/>
  <c r="M15" i="2"/>
  <c r="L15" i="2"/>
  <c r="K15" i="2"/>
  <c r="J15" i="2"/>
  <c r="I15" i="2"/>
  <c r="H15" i="2"/>
  <c r="G15" i="2"/>
  <c r="O15" i="2" s="1"/>
  <c r="F15" i="2"/>
  <c r="E15" i="2"/>
  <c r="D15" i="2"/>
  <c r="C15" i="2"/>
  <c r="N14" i="2"/>
  <c r="M14" i="2"/>
  <c r="L14" i="2"/>
  <c r="K14" i="2"/>
  <c r="J14" i="2"/>
  <c r="I14" i="2"/>
  <c r="H14" i="2"/>
  <c r="G14" i="2"/>
  <c r="O14" i="2" s="1"/>
  <c r="F14" i="2"/>
  <c r="E14" i="2"/>
  <c r="D14" i="2"/>
  <c r="C14" i="2"/>
  <c r="N13" i="2"/>
  <c r="M13" i="2"/>
  <c r="L13" i="2"/>
  <c r="K13" i="2"/>
  <c r="J13" i="2"/>
  <c r="I13" i="2"/>
  <c r="H13" i="2"/>
  <c r="G13" i="2"/>
  <c r="F13" i="2"/>
  <c r="E13" i="2"/>
  <c r="D13" i="2"/>
  <c r="C13" i="2"/>
  <c r="O13" i="2" s="1"/>
  <c r="N12" i="2"/>
  <c r="M12" i="2"/>
  <c r="L12" i="2"/>
  <c r="K12" i="2"/>
  <c r="J12" i="2"/>
  <c r="I12" i="2"/>
  <c r="H12" i="2"/>
  <c r="G12" i="2"/>
  <c r="O12" i="2" s="1"/>
  <c r="F12" i="2"/>
  <c r="E12" i="2"/>
  <c r="D12" i="2"/>
  <c r="C12" i="2"/>
  <c r="N11" i="2"/>
  <c r="M11" i="2"/>
  <c r="L11" i="2"/>
  <c r="K11" i="2"/>
  <c r="J11" i="2"/>
  <c r="I11" i="2"/>
  <c r="H11" i="2"/>
  <c r="G11" i="2"/>
  <c r="F11" i="2"/>
  <c r="E11" i="2"/>
  <c r="D11" i="2"/>
  <c r="C11" i="2"/>
  <c r="O11" i="2" s="1"/>
  <c r="N10" i="2"/>
  <c r="M10" i="2"/>
  <c r="L10" i="2"/>
  <c r="K10" i="2"/>
  <c r="J10" i="2"/>
  <c r="I10" i="2"/>
  <c r="H10" i="2"/>
  <c r="G10" i="2"/>
  <c r="F10" i="2"/>
  <c r="E10" i="2"/>
  <c r="D10" i="2"/>
  <c r="C10" i="2"/>
  <c r="O10" i="2" s="1"/>
  <c r="N9" i="2"/>
  <c r="M9" i="2"/>
  <c r="L9" i="2"/>
  <c r="K9" i="2"/>
  <c r="J9" i="2"/>
  <c r="I9" i="2"/>
  <c r="H9" i="2"/>
  <c r="G9" i="2"/>
  <c r="O9" i="2" s="1"/>
  <c r="F9" i="2"/>
  <c r="E9" i="2"/>
  <c r="D9" i="2"/>
  <c r="C9" i="2"/>
  <c r="N8" i="2"/>
  <c r="M8" i="2"/>
  <c r="L8" i="2"/>
  <c r="K8" i="2"/>
  <c r="J8" i="2"/>
  <c r="I8" i="2"/>
  <c r="H8" i="2"/>
  <c r="G8" i="2"/>
  <c r="F8" i="2"/>
  <c r="E8" i="2"/>
  <c r="D8" i="2"/>
  <c r="C8" i="2"/>
  <c r="O8" i="2" s="1"/>
  <c r="N7" i="2"/>
  <c r="M7" i="2"/>
  <c r="L7" i="2"/>
  <c r="K7" i="2"/>
  <c r="J7" i="2"/>
  <c r="I7" i="2"/>
  <c r="H7" i="2"/>
  <c r="G7" i="2"/>
  <c r="O7" i="2" s="1"/>
  <c r="F7" i="2"/>
  <c r="E7" i="2"/>
  <c r="D7" i="2"/>
  <c r="C7" i="2"/>
  <c r="N6" i="2"/>
  <c r="M6" i="2"/>
  <c r="L6" i="2"/>
  <c r="K6" i="2"/>
  <c r="J6" i="2"/>
  <c r="I6" i="2"/>
  <c r="H6" i="2"/>
  <c r="G6" i="2"/>
  <c r="O6" i="2" s="1"/>
  <c r="F6" i="2"/>
  <c r="E6" i="2"/>
  <c r="D6" i="2"/>
  <c r="C6" i="2"/>
  <c r="N5" i="2"/>
  <c r="N21" i="2" s="1"/>
  <c r="M5" i="2"/>
  <c r="M21" i="2" s="1"/>
  <c r="L5" i="2"/>
  <c r="L21" i="2" s="1"/>
  <c r="K5" i="2"/>
  <c r="K21" i="2" s="1"/>
  <c r="J5" i="2"/>
  <c r="J21" i="2" s="1"/>
  <c r="J23" i="2" s="1"/>
  <c r="I5" i="2"/>
  <c r="I21" i="2" s="1"/>
  <c r="I23" i="2" s="1"/>
  <c r="H5" i="2"/>
  <c r="H21" i="2" s="1"/>
  <c r="H23" i="2" s="1"/>
  <c r="G5" i="2"/>
  <c r="G21" i="2" s="1"/>
  <c r="F5" i="2"/>
  <c r="F21" i="2" s="1"/>
  <c r="E5" i="2"/>
  <c r="E21" i="2" s="1"/>
  <c r="D5" i="2"/>
  <c r="D21" i="2" s="1"/>
  <c r="C5" i="2"/>
  <c r="C21" i="2" s="1"/>
  <c r="E9" i="1"/>
  <c r="F9" i="1" s="1"/>
  <c r="D9" i="1"/>
  <c r="E8" i="1"/>
  <c r="F8" i="1" s="1"/>
  <c r="D8" i="1"/>
  <c r="E7" i="1"/>
  <c r="F7" i="1" s="1"/>
  <c r="D7" i="1"/>
  <c r="E6" i="1"/>
  <c r="F6" i="1" s="1"/>
  <c r="D6" i="1"/>
  <c r="B6" i="1"/>
  <c r="E5" i="1"/>
  <c r="F5" i="1" s="1"/>
  <c r="D5" i="1"/>
  <c r="B5" i="1"/>
  <c r="G23" i="2" l="1"/>
  <c r="H11" i="4"/>
  <c r="G11" i="4"/>
  <c r="H19" i="4"/>
  <c r="G19" i="4"/>
  <c r="D23" i="2"/>
  <c r="L23" i="2"/>
  <c r="C23" i="2"/>
  <c r="H4" i="4"/>
  <c r="G4" i="4"/>
  <c r="E23" i="2"/>
  <c r="M23" i="2"/>
  <c r="H12" i="4"/>
  <c r="G12" i="4"/>
  <c r="K23" i="2"/>
  <c r="F23" i="2"/>
  <c r="N23" i="2"/>
  <c r="D5" i="4"/>
  <c r="G8" i="4"/>
  <c r="D13" i="4"/>
  <c r="G16" i="4"/>
  <c r="G7" i="4"/>
  <c r="G15" i="4"/>
  <c r="B7" i="1"/>
  <c r="O5" i="2"/>
  <c r="O21" i="2" s="1"/>
  <c r="G6" i="4"/>
  <c r="G14" i="4"/>
  <c r="C23" i="4"/>
  <c r="D23" i="4" s="1"/>
  <c r="B8" i="1" l="1"/>
  <c r="C22" i="4"/>
  <c r="D22" i="4" s="1"/>
  <c r="H13" i="4"/>
  <c r="G13" i="4"/>
  <c r="H5" i="4"/>
  <c r="G5" i="4"/>
  <c r="O23" i="2"/>
  <c r="C24" i="4" l="1"/>
  <c r="D24" i="4" s="1"/>
  <c r="B9" i="1"/>
</calcChain>
</file>

<file path=xl/sharedStrings.xml><?xml version="1.0" encoding="utf-8"?>
<sst xmlns="http://schemas.openxmlformats.org/spreadsheetml/2006/main" count="194" uniqueCount="120">
  <si>
    <t>STARTEAM PST — Six-Month Electricity Carbon Footprint</t>
  </si>
  <si>
    <t>Preliminary Scope 2 location-based calculation based on the supplied screenshot and Thailand TGO grid factor.</t>
  </si>
  <si>
    <t>KPI</t>
  </si>
  <si>
    <t>Result</t>
  </si>
  <si>
    <t>Machine / Sub-meter</t>
  </si>
  <si>
    <t>Electricity (kWh)</t>
  </si>
  <si>
    <t>Scope 2 (tCO2e)</t>
  </si>
  <si>
    <t>Emission factor</t>
  </si>
  <si>
    <t>Reported electricity</t>
  </si>
  <si>
    <t>Reported Scope 2 emissions</t>
  </si>
  <si>
    <t>Visible-row Scope 2 emissions</t>
  </si>
  <si>
    <t>Unreconciled Scope 2 emissions</t>
  </si>
  <si>
    <t>Important: the reported source total is 1,504,283 kWh, while the monthly values of the visible machine rows total 1,235,902 kWh. The difference is 268,381 kWh (127.48 tCO2e). The original Excel file should be obtained before using this as an assured SBTi inventory.</t>
  </si>
  <si>
    <t>Boundary: purchased grid electricity only. The workbook does not include fuels, refrigerants, process gases, on-site solar allocation, renewable energy certificates, transmission/distribution losses or other Scope 3 categories.</t>
  </si>
  <si>
    <t>CALCULATED CARBON FOOTPRINT — Scope 2 location-based electricity (kg CO2e)</t>
  </si>
  <si>
    <t>Formula: monthly electricity (kWh) × 0.475 kg CO2e/kWh. The reported source total does not reconcile with the visible machine rows; both totals are shown below.</t>
  </si>
  <si>
    <t>MACHINE (Process) sub-meter carbon footprint</t>
  </si>
  <si>
    <t>Process Step</t>
  </si>
  <si>
    <t>Jan</t>
  </si>
  <si>
    <t>Feb</t>
  </si>
  <si>
    <t>Mar</t>
  </si>
  <si>
    <t>Apr</t>
  </si>
  <si>
    <t>May</t>
  </si>
  <si>
    <t>Jun</t>
  </si>
  <si>
    <t>Jul</t>
  </si>
  <si>
    <t>Aug</t>
  </si>
  <si>
    <t>Sep</t>
  </si>
  <si>
    <t>Oct</t>
  </si>
  <si>
    <t>Nov</t>
  </si>
  <si>
    <t>Dec</t>
  </si>
  <si>
    <t>Total</t>
  </si>
  <si>
    <t>PP-9</t>
  </si>
  <si>
    <t>19 - Routing</t>
  </si>
  <si>
    <t>DEVERLOP S/M ใหม่</t>
  </si>
  <si>
    <t>14 - Solder Mask</t>
  </si>
  <si>
    <t>PRETREATMENT S/M เก่า</t>
  </si>
  <si>
    <t>PRETREATMENT S/M ใหม่</t>
  </si>
  <si>
    <t>PP-1 LDI</t>
  </si>
  <si>
    <t>2 - Inner Layer Dry Film</t>
  </si>
  <si>
    <t>PP-2</t>
  </si>
  <si>
    <t>7 - Drilling</t>
  </si>
  <si>
    <t>DEVERLOP D/F</t>
  </si>
  <si>
    <t>PRETREATMENT D/F</t>
  </si>
  <si>
    <t>VCP</t>
  </si>
  <si>
    <t>11 - Pattern Plating</t>
  </si>
  <si>
    <t>PANAL PLATE</t>
  </si>
  <si>
    <t>9 - Panel Plating</t>
  </si>
  <si>
    <t>E-CLIP ตู้ที่2</t>
  </si>
  <si>
    <t>8 - Eclipse (Desmear/PTH)</t>
  </si>
  <si>
    <t>E-CLIP ตู้ที่3</t>
  </si>
  <si>
    <t>ETCHING 1 ติด IMT</t>
  </si>
  <si>
    <t>12 - Alkaline Etch</t>
  </si>
  <si>
    <t>ETCHING 2 ติด AOI</t>
  </si>
  <si>
    <t>PP-20</t>
  </si>
  <si>
    <t>15 - Legend</t>
  </si>
  <si>
    <t>PP-10</t>
  </si>
  <si>
    <t>1 - Board Cut</t>
  </si>
  <si>
    <t>TOTAL — Visible Rows</t>
  </si>
  <si>
    <t>REPORTED TOTAL — Source Table</t>
  </si>
  <si>
    <t>UNRECONCILED DIFFERENCE</t>
  </si>
  <si>
    <t>SOURCE DATA — Sub-metered monthly electricity (kWh)</t>
  </si>
  <si>
    <t>MACHINE (Process) sub-meters</t>
  </si>
  <si>
    <t>Provided Total</t>
  </si>
  <si>
    <t>Data Reconciliation and Quality Checks</t>
  </si>
  <si>
    <t>Calculated Total from Months (kWh)</t>
  </si>
  <si>
    <t>Provided Row Total (kWh)</t>
  </si>
  <si>
    <t>Difference (Provided − Calculated)</t>
  </si>
  <si>
    <t>Calculated Scope 2 (kg CO2e)</t>
  </si>
  <si>
    <t>Provided-total Scope 2 (kg CO2e)</t>
  </si>
  <si>
    <t>Check</t>
  </si>
  <si>
    <t>Comment</t>
  </si>
  <si>
    <t>Overall Check</t>
  </si>
  <si>
    <t>Energy (kWh)</t>
  </si>
  <si>
    <t>Scope 2 (kg CO2e)</t>
  </si>
  <si>
    <t>Visible machine rows</t>
  </si>
  <si>
    <t>Reported source total</t>
  </si>
  <si>
    <t>Unreconciled difference</t>
  </si>
  <si>
    <t>Methodology and Emission Factor</t>
  </si>
  <si>
    <t>Parameter</t>
  </si>
  <si>
    <t>Value</t>
  </si>
  <si>
    <t>Unit / Basis</t>
  </si>
  <si>
    <t>Notes</t>
  </si>
  <si>
    <t>Source</t>
  </si>
  <si>
    <t>Status</t>
  </si>
  <si>
    <t>Facility</t>
  </si>
  <si>
    <t>PST Factory, Prachinburi, Thailand</t>
  </si>
  <si>
    <t>STARTEAM PCB manufacturing facility.</t>
  </si>
  <si>
    <t>https://starteam.global/our-factories/pst-factory/</t>
  </si>
  <si>
    <t>Confirmed</t>
  </si>
  <si>
    <t>Reporting category</t>
  </si>
  <si>
    <t>Scope 2 — purchased electricity</t>
  </si>
  <si>
    <t>Location-based calculation using Thai grid electricity.</t>
  </si>
  <si>
    <t>https://ghgprotocol.org/scope-2-guidance</t>
  </si>
  <si>
    <t>Calculated</t>
  </si>
  <si>
    <t>Electricity emission factor</t>
  </si>
  <si>
    <t>kg CO2e/kWh</t>
  </si>
  <si>
    <t>TGO grid mix 2022–2024, CFO Scope 2.</t>
  </si>
  <si>
    <t>https://thaicarbonlabel.tgo.or.th/index.php?lang=EN&amp;mod=YjNKbllXNXBlbUYwYVc5dVgyVnRhWE56YVc5dQ</t>
  </si>
  <si>
    <t>Current factor used</t>
  </si>
  <si>
    <t>Calculation</t>
  </si>
  <si>
    <t>Electricity consumption × emission factor</t>
  </si>
  <si>
    <t>kg CO2e</t>
  </si>
  <si>
    <t>Example: 1,000 kWh × 0.475 = 475 kg CO2e.</t>
  </si>
  <si>
    <t>Formula</t>
  </si>
  <si>
    <t>Carbon unit conversion</t>
  </si>
  <si>
    <t>1,000 kg CO2e = 1 tCO2e</t>
  </si>
  <si>
    <t>Reference</t>
  </si>
  <si>
    <t>Market-based result</t>
  </si>
  <si>
    <t>Not calculated</t>
  </si>
  <si>
    <t>Requires supplier-specific factor and/or qualifying renewable energy certificates or contractual instruments.</t>
  </si>
  <si>
    <t>https://ghgprotocol.org/scope-2-frequently-asked-questions</t>
  </si>
  <si>
    <t>Data required</t>
  </si>
  <si>
    <t>Scope 3 electricity-related emissions</t>
  </si>
  <si>
    <t>Not included</t>
  </si>
  <si>
    <t>Upstream fuel and electricity-related Scope 3 emissions are outside this requested Scope 2 table.</t>
  </si>
  <si>
    <t>Excluded</t>
  </si>
  <si>
    <t>Data period</t>
  </si>
  <si>
    <t>January–June (six months)</t>
  </si>
  <si>
    <t>July–December are shown as zero in the supplied table.</t>
  </si>
  <si>
    <t>Source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</si>
</sst>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 &quot;kg CO2e/kWh&quot;"/>
    <numFmt numFmtId="167" formatCode="#,##0\ &quot;kWh&quot;"/>
    <numFmt numFmtId="168" formatCode="#,##0.00\ &quot;tCO2e&quot;"/>
  </numFmts>
  <fonts count="9">
    <font>
      <sz val="11"/>
      <name val="Carlito"/>
    </font>
    <font>
      <b/>
      <sz val="16"/>
      <color rgb="FFFFFFFF"/>
      <name val="Carlito"/>
    </font>
    <font>
      <b/>
      <sz val="11"/>
      <color rgb="FFFFFFFF"/>
      <name val="Carlito"/>
    </font>
    <font>
      <b/>
      <sz val="16"/>
      <color rgb="FF173A5E"/>
      <name val="Carlito"/>
    </font>
    <font>
      <b/>
      <sz val="11"/>
      <color rgb="FF183247"/>
      <name val="Carlito"/>
    </font>
    <font>
      <i/>
      <sz val="11"/>
      <color rgb="FF183247"/>
      <name val="Carlito"/>
    </font>
    <font>
      <b/>
      <sz val="11"/>
      <name val="Carlito"/>
    </font>
    <font>
      <b/>
      <sz val="17"/>
      <color rgb="FFFFFFFF"/>
      <name val="Carlito"/>
    </font>
    <font>
      <sz val="11"/>
      <color rgb="FF183247"/>
      <name val="Carlito"/>
    </font>
  </fonts>
  <fills count="10">
    <fill>
      <patternFill patternType="none"/>
    </fill>
    <fill>
      <patternFill patternType="gray125"/>
    </fill>
    <fill>
      <patternFill patternType="solid">
        <fgColor rgb="FF173A5E"/>
      </patternFill>
    </fill>
    <fill>
      <patternFill patternType="solid">
        <fgColor rgb="FF146B78"/>
      </patternFill>
    </fill>
    <fill>
      <patternFill patternType="solid">
        <fgColor rgb="FFFFFFFF"/>
      </patternFill>
    </fill>
    <fill>
      <patternFill patternType="solid">
        <fgColor rgb="FFE9EEF2"/>
      </patternFill>
    </fill>
    <fill>
      <patternFill patternType="solid">
        <fgColor rgb="FFDDEFE3"/>
      </patternFill>
    </fill>
    <fill>
      <patternFill patternType="solid">
        <fgColor rgb="FFFDE9E7"/>
      </patternFill>
    </fill>
    <fill>
      <patternFill patternType="solid">
        <fgColor rgb="FFFFF4CC"/>
      </patternFill>
    </fill>
    <fill>
      <patternFill patternType="solid">
        <fgColor rgb="FFEAF2F8"/>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8">
    <xf numFmtId="0" fontId="0" fillId="0" borderId="0" xfId="0"/>
    <xf numFmtId="0" fontId="0" fillId="0" borderId="0" xfId="0" applyAlignment="1">
      <alignment wrapText="1"/>
    </xf>
    <xf numFmtId="164" fontId="0" fillId="0" borderId="0" xfId="0" applyNumberFormat="1" applyAlignment="1">
      <alignment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3" fontId="0" fillId="0" borderId="0" xfId="0" applyNumberFormat="1"/>
    <xf numFmtId="0" fontId="0" fillId="0" borderId="12" xfId="0" applyBorder="1" applyAlignment="1">
      <alignment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0" borderId="12" xfId="0" applyBorder="1"/>
    <xf numFmtId="165" fontId="0" fillId="0" borderId="0" xfId="0" applyNumberFormat="1" applyAlignment="1">
      <alignment wrapText="1"/>
    </xf>
    <xf numFmtId="0" fontId="0" fillId="0" borderId="13" xfId="0" applyBorder="1" applyAlignment="1">
      <alignment wrapText="1"/>
    </xf>
    <xf numFmtId="0" fontId="2" fillId="3" borderId="12" xfId="0" applyFont="1" applyFill="1" applyBorder="1" applyAlignment="1">
      <alignment wrapText="1"/>
    </xf>
    <xf numFmtId="165" fontId="2" fillId="3" borderId="0" xfId="0" applyNumberFormat="1" applyFont="1" applyFill="1" applyAlignment="1">
      <alignment wrapText="1"/>
    </xf>
    <xf numFmtId="0" fontId="6" fillId="5" borderId="12" xfId="0" applyFont="1" applyFill="1" applyBorder="1" applyAlignment="1">
      <alignment wrapText="1"/>
    </xf>
    <xf numFmtId="165" fontId="6" fillId="5" borderId="0" xfId="0" applyNumberFormat="1" applyFont="1" applyFill="1" applyAlignment="1">
      <alignment wrapText="1"/>
    </xf>
    <xf numFmtId="0" fontId="6" fillId="6" borderId="12" xfId="0" applyFont="1" applyFill="1" applyBorder="1" applyAlignment="1">
      <alignment wrapText="1"/>
    </xf>
    <xf numFmtId="165" fontId="6" fillId="6" borderId="0" xfId="0" applyNumberFormat="1" applyFont="1" applyFill="1" applyAlignment="1">
      <alignment wrapText="1"/>
    </xf>
    <xf numFmtId="0" fontId="6" fillId="7" borderId="14" xfId="0" applyFont="1" applyFill="1" applyBorder="1" applyAlignment="1">
      <alignment wrapText="1"/>
    </xf>
    <xf numFmtId="165" fontId="6" fillId="7" borderId="15" xfId="0" applyNumberFormat="1" applyFont="1" applyFill="1" applyBorder="1" applyAlignment="1">
      <alignment wrapText="1"/>
    </xf>
    <xf numFmtId="165" fontId="0" fillId="0" borderId="15" xfId="0" applyNumberFormat="1" applyBorder="1" applyAlignment="1">
      <alignment wrapText="1"/>
    </xf>
    <xf numFmtId="0" fontId="0" fillId="0" borderId="15" xfId="0" applyBorder="1" applyAlignment="1">
      <alignment wrapText="1"/>
    </xf>
    <xf numFmtId="0" fontId="0" fillId="0" borderId="16" xfId="0" applyBorder="1" applyAlignment="1">
      <alignment wrapText="1"/>
    </xf>
    <xf numFmtId="0" fontId="2" fillId="3" borderId="9" xfId="0" applyFont="1" applyFill="1" applyBorder="1"/>
    <xf numFmtId="0" fontId="2" fillId="3" borderId="11" xfId="0" applyFont="1" applyFill="1" applyBorder="1"/>
    <xf numFmtId="166" fontId="0" fillId="0" borderId="13" xfId="0" applyNumberFormat="1" applyBorder="1"/>
    <xf numFmtId="167" fontId="0" fillId="0" borderId="13" xfId="0" applyNumberFormat="1" applyBorder="1"/>
    <xf numFmtId="168" fontId="0" fillId="0" borderId="13" xfId="0" applyNumberFormat="1" applyBorder="1"/>
    <xf numFmtId="0" fontId="0" fillId="0" borderId="14" xfId="0" applyBorder="1"/>
    <xf numFmtId="168" fontId="0" fillId="0" borderId="16" xfId="0" applyNumberFormat="1" applyBorder="1"/>
    <xf numFmtId="0" fontId="2" fillId="3" borderId="10" xfId="0" applyFont="1" applyFill="1" applyBorder="1"/>
    <xf numFmtId="4" fontId="0" fillId="0" borderId="13" xfId="0" applyNumberFormat="1" applyBorder="1"/>
    <xf numFmtId="3" fontId="0" fillId="0" borderId="15" xfId="0" applyNumberFormat="1" applyBorder="1"/>
    <xf numFmtId="4" fontId="0" fillId="0" borderId="16" xfId="0" applyNumberFormat="1" applyBorder="1"/>
    <xf numFmtId="0" fontId="2" fillId="3" borderId="10" xfId="0" applyFont="1" applyFill="1" applyBorder="1" applyAlignment="1">
      <alignment horizontal="right" vertical="center"/>
    </xf>
    <xf numFmtId="0" fontId="2" fillId="3" borderId="11" xfId="0" applyFont="1" applyFill="1" applyBorder="1" applyAlignment="1">
      <alignment horizontal="righ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0" fillId="0" borderId="12" xfId="0" applyBorder="1" applyAlignment="1">
      <alignment horizontal="left" vertical="center" wrapText="1"/>
    </xf>
    <xf numFmtId="0" fontId="0" fillId="0" borderId="0" xfId="0" applyAlignment="1">
      <alignment horizontal="left" vertical="center" wrapText="1"/>
    </xf>
    <xf numFmtId="3" fontId="0" fillId="0" borderId="0" xfId="0" applyNumberFormat="1" applyAlignment="1">
      <alignment horizontal="right" vertical="center"/>
    </xf>
    <xf numFmtId="3" fontId="0" fillId="0" borderId="13" xfId="0" applyNumberFormat="1" applyBorder="1" applyAlignment="1">
      <alignment horizontal="right" vertical="center"/>
    </xf>
    <xf numFmtId="0" fontId="4" fillId="5" borderId="12" xfId="0" applyFont="1" applyFill="1" applyBorder="1" applyAlignment="1">
      <alignment horizontal="left" vertical="center" wrapText="1"/>
    </xf>
    <xf numFmtId="0" fontId="4" fillId="5" borderId="0" xfId="0" applyFont="1" applyFill="1" applyAlignment="1">
      <alignment horizontal="left" vertical="center" wrapText="1"/>
    </xf>
    <xf numFmtId="3" fontId="4" fillId="5" borderId="0" xfId="0" applyNumberFormat="1" applyFont="1" applyFill="1" applyAlignment="1">
      <alignment horizontal="right" vertical="center"/>
    </xf>
    <xf numFmtId="3" fontId="4" fillId="5" borderId="13" xfId="0" applyNumberFormat="1" applyFont="1" applyFill="1" applyBorder="1" applyAlignment="1">
      <alignment horizontal="right" vertical="center"/>
    </xf>
    <xf numFmtId="0" fontId="4" fillId="6" borderId="12" xfId="0" applyFont="1" applyFill="1" applyBorder="1" applyAlignment="1">
      <alignment horizontal="left" vertical="center" wrapText="1"/>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3" fontId="4" fillId="6" borderId="13" xfId="0" applyNumberFormat="1" applyFont="1" applyFill="1" applyBorder="1" applyAlignment="1">
      <alignment horizontal="right" vertical="center"/>
    </xf>
    <xf numFmtId="0" fontId="4" fillId="7" borderId="14" xfId="0" applyFont="1" applyFill="1" applyBorder="1" applyAlignment="1">
      <alignment horizontal="left" vertical="center" wrapText="1"/>
    </xf>
    <xf numFmtId="0" fontId="4" fillId="7" borderId="15" xfId="0" applyFont="1" applyFill="1" applyBorder="1" applyAlignment="1">
      <alignment horizontal="left" vertical="center" wrapText="1"/>
    </xf>
    <xf numFmtId="3" fontId="4" fillId="7" borderId="15" xfId="0" applyNumberFormat="1" applyFont="1" applyFill="1" applyBorder="1" applyAlignment="1">
      <alignment horizontal="right" vertical="center"/>
    </xf>
    <xf numFmtId="3" fontId="4" fillId="7" borderId="16" xfId="0" applyNumberFormat="1" applyFont="1" applyFill="1" applyBorder="1" applyAlignment="1">
      <alignment horizontal="right" vertical="center"/>
    </xf>
    <xf numFmtId="165" fontId="0" fillId="0" borderId="0" xfId="0" applyNumberFormat="1" applyAlignment="1">
      <alignment horizontal="right" vertical="center"/>
    </xf>
    <xf numFmtId="165" fontId="0" fillId="0" borderId="13" xfId="0" applyNumberFormat="1" applyBorder="1" applyAlignment="1">
      <alignment horizontal="right" vertical="center"/>
    </xf>
    <xf numFmtId="165" fontId="4" fillId="5" borderId="0" xfId="0" applyNumberFormat="1" applyFont="1" applyFill="1" applyAlignment="1">
      <alignment horizontal="right" vertical="center"/>
    </xf>
    <xf numFmtId="165" fontId="4" fillId="5" borderId="13" xfId="0" applyNumberFormat="1" applyFont="1" applyFill="1" applyBorder="1" applyAlignment="1">
      <alignment horizontal="right" vertical="center"/>
    </xf>
    <xf numFmtId="165" fontId="4" fillId="6" borderId="0" xfId="0" applyNumberFormat="1" applyFont="1" applyFill="1" applyAlignment="1">
      <alignment horizontal="right" vertical="center"/>
    </xf>
    <xf numFmtId="165" fontId="4" fillId="6" borderId="13" xfId="0" applyNumberFormat="1" applyFont="1" applyFill="1" applyBorder="1" applyAlignment="1">
      <alignment horizontal="right" vertical="center"/>
    </xf>
    <xf numFmtId="165" fontId="4" fillId="7" borderId="15" xfId="0" applyNumberFormat="1" applyFont="1" applyFill="1" applyBorder="1" applyAlignment="1">
      <alignment horizontal="right" vertical="center"/>
    </xf>
    <xf numFmtId="165" fontId="4" fillId="7" borderId="16" xfId="0" applyNumberFormat="1" applyFont="1" applyFill="1" applyBorder="1" applyAlignment="1">
      <alignment horizontal="right" vertical="center"/>
    </xf>
    <xf numFmtId="0" fontId="3" fillId="4" borderId="0" xfId="0" applyFont="1" applyFill="1" applyAlignment="1">
      <alignment horizontal="left"/>
    </xf>
    <xf numFmtId="0" fontId="5" fillId="8" borderId="0" xfId="0" applyFont="1" applyFill="1" applyAlignment="1">
      <alignment wrapText="1"/>
    </xf>
    <xf numFmtId="0" fontId="2" fillId="2" borderId="0" xfId="0" applyFont="1" applyFill="1"/>
    <xf numFmtId="0" fontId="7" fillId="2" borderId="0" xfId="0" applyFont="1" applyFill="1" applyAlignment="1">
      <alignment horizontal="left"/>
    </xf>
    <xf numFmtId="0" fontId="5" fillId="9" borderId="0" xfId="0" applyFont="1" applyFill="1"/>
    <xf numFmtId="0" fontId="4" fillId="7" borderId="0" xfId="0" applyFont="1" applyFill="1" applyAlignment="1">
      <alignment vertical="center" wrapText="1"/>
    </xf>
    <xf numFmtId="0" fontId="8" fillId="9" borderId="0" xfId="0" applyFont="1" applyFill="1" applyAlignment="1">
      <alignment wrapText="1"/>
    </xf>
    <xf numFmtId="0" fontId="1" fillId="2" borderId="0" xfId="0" applyFont="1" applyFill="1"/>
    <xf numFmtId="0" fontId="1" fillId="2" borderId="0" xfId="0" applyFont="1" applyFill="1" applyAlignment="1">
      <alignment horizontal="left" vertical="center"/>
    </xf>
  </cellXfs>
  <cellStyles count="1">
    <cellStyle name="Normal" xfId="0" builtinId="0"/>
  </cellStyles>
  <dxfs count="2">
    <dxf>
      <font>
        <b/>
      </font>
      <fill>
        <patternFill patternType="solid">
          <bgColor rgb="FFFDE9E7"/>
        </patternFill>
      </fill>
    </dxf>
    <dxf>
      <font>
        <b/>
      </font>
      <fill>
        <patternFill patternType="solid">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Top Visible Machines by Scope 2 Emissions</a:t>
            </a:r>
          </a:p>
        </c:rich>
      </c:tx>
      <c:overlay val="0"/>
    </c:title>
    <c:autoTitleDeleted val="0"/>
    <c:plotArea>
      <c:layout/>
      <c:barChart>
        <c:barDir val="col"/>
        <c:grouping val="clustered"/>
        <c:varyColors val="0"/>
        <c:ser>
          <c:idx val="0"/>
          <c:order val="0"/>
          <c:tx>
            <c:v>Electricity (kWh)</c:v>
          </c:tx>
          <c:invertIfNegative val="1"/>
          <c:cat>
            <c:strRef>
              <c:f>Summary!$D$5:$D$9</c:f>
              <c:strCache>
                <c:ptCount val="5"/>
                <c:pt idx="0">
                  <c:v>VCP</c:v>
                </c:pt>
                <c:pt idx="1">
                  <c:v>PANAL PLATE</c:v>
                </c:pt>
                <c:pt idx="2">
                  <c:v>E-CLIP ตู้ที่2</c:v>
                </c:pt>
                <c:pt idx="3">
                  <c:v>ETCHING 1 ติด IMT</c:v>
                </c:pt>
                <c:pt idx="4">
                  <c:v>E-CLIP ตู้ที่3</c:v>
                </c:pt>
              </c:strCache>
            </c:strRef>
          </c:cat>
          <c:val>
            <c:numRef>
              <c:f>Summary!$E$5:$E$9</c:f>
              <c:numCache>
                <c:formatCode>#,##0</c:formatCode>
                <c:ptCount val="5"/>
                <c:pt idx="0">
                  <c:v>207741</c:v>
                </c:pt>
                <c:pt idx="1">
                  <c:v>201580</c:v>
                </c:pt>
                <c:pt idx="2">
                  <c:v>199947</c:v>
                </c:pt>
                <c:pt idx="3">
                  <c:v>90123</c:v>
                </c:pt>
                <c:pt idx="4">
                  <c:v>78702</c:v>
                </c:pt>
              </c:numCache>
            </c:numRef>
          </c:val>
          <c:extLst>
            <c:ext xmlns:c16="http://schemas.microsoft.com/office/drawing/2014/chart" uri="{C3380CC4-5D6E-409C-BE32-E72D297353CC}">
              <c16:uniqueId val="{00000000-13FD-4DC3-95F1-2F9ECD816959}"/>
            </c:ext>
          </c:extLst>
        </c:ser>
        <c:ser>
          <c:idx val="1"/>
          <c:order val="1"/>
          <c:tx>
            <c:v>Scope 2 (tCO2e)</c:v>
          </c:tx>
          <c:invertIfNegative val="1"/>
          <c:cat>
            <c:strRef>
              <c:f>Summary!$D$5:$D$9</c:f>
              <c:strCache>
                <c:ptCount val="5"/>
                <c:pt idx="0">
                  <c:v>VCP</c:v>
                </c:pt>
                <c:pt idx="1">
                  <c:v>PANAL PLATE</c:v>
                </c:pt>
                <c:pt idx="2">
                  <c:v>E-CLIP ตู้ที่2</c:v>
                </c:pt>
                <c:pt idx="3">
                  <c:v>ETCHING 1 ติด IMT</c:v>
                </c:pt>
                <c:pt idx="4">
                  <c:v>E-CLIP ตู้ที่3</c:v>
                </c:pt>
              </c:strCache>
            </c:strRef>
          </c:cat>
          <c:val>
            <c:numRef>
              <c:f>Summary!$F$5:$F$9</c:f>
              <c:numCache>
                <c:formatCode>#,##0.00</c:formatCode>
                <c:ptCount val="5"/>
                <c:pt idx="0">
                  <c:v>98.676974999999985</c:v>
                </c:pt>
                <c:pt idx="1">
                  <c:v>95.750500000000002</c:v>
                </c:pt>
                <c:pt idx="2">
                  <c:v>94.974824999999996</c:v>
                </c:pt>
                <c:pt idx="3">
                  <c:v>42.808424999999993</c:v>
                </c:pt>
                <c:pt idx="4">
                  <c:v>37.383449999999996</c:v>
                </c:pt>
              </c:numCache>
            </c:numRef>
          </c:val>
          <c:extLst>
            <c:ext xmlns:c16="http://schemas.microsoft.com/office/drawing/2014/chart" uri="{C3380CC4-5D6E-409C-BE32-E72D297353CC}">
              <c16:uniqueId val="{00000001-13FD-4DC3-95F1-2F9ECD81695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8</xdr:col>
      <xdr:colOff>0</xdr:colOff>
      <xdr:row>27</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arbonFootprintTable" displayName="CarbonFootprintTable" ref="A4:O20">
  <tableColumns count="15">
    <tableColumn id="1" xr3:uid="{00000000-0010-0000-0000-000001000000}" name="Machine / Sub-meter"/>
    <tableColumn id="2" xr3:uid="{00000000-0010-0000-0000-000002000000}" name="Process Step"/>
    <tableColumn id="3" xr3:uid="{00000000-0010-0000-0000-000003000000}" name="Jan"/>
    <tableColumn id="4" xr3:uid="{00000000-0010-0000-0000-000004000000}" name="Feb"/>
    <tableColumn id="5" xr3:uid="{00000000-0010-0000-0000-000005000000}" name="Mar"/>
    <tableColumn id="6" xr3:uid="{00000000-0010-0000-0000-000006000000}" name="Apr"/>
    <tableColumn id="7" xr3:uid="{00000000-0010-0000-0000-000007000000}" name="May"/>
    <tableColumn id="8" xr3:uid="{00000000-0010-0000-0000-000008000000}" name="Jun"/>
    <tableColumn id="9" xr3:uid="{00000000-0010-0000-0000-000009000000}" name="Jul"/>
    <tableColumn id="10" xr3:uid="{00000000-0010-0000-0000-00000A000000}" name="Aug"/>
    <tableColumn id="11" xr3:uid="{00000000-0010-0000-0000-00000B000000}" name="Sep"/>
    <tableColumn id="12" xr3:uid="{00000000-0010-0000-0000-00000C000000}" name="Oct"/>
    <tableColumn id="13" xr3:uid="{00000000-0010-0000-0000-00000D000000}" name="Nov"/>
    <tableColumn id="14" xr3:uid="{00000000-0010-0000-0000-00000E000000}" name="Dec"/>
    <tableColumn id="15" xr3:uid="{00000000-0010-0000-0000-00000F000000}" name="To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ourceEnergyTable" displayName="SourceEnergyTable" ref="A4:O20">
  <tableColumns count="15">
    <tableColumn id="1" xr3:uid="{00000000-0010-0000-0100-000001000000}" name="Machine / Sub-meter"/>
    <tableColumn id="2" xr3:uid="{00000000-0010-0000-0100-000002000000}" name="Process Step"/>
    <tableColumn id="3" xr3:uid="{00000000-0010-0000-0100-000003000000}" name="Jan"/>
    <tableColumn id="4" xr3:uid="{00000000-0010-0000-0100-000004000000}" name="Feb"/>
    <tableColumn id="5" xr3:uid="{00000000-0010-0000-0100-000005000000}" name="Mar"/>
    <tableColumn id="6" xr3:uid="{00000000-0010-0000-0100-000006000000}" name="Apr"/>
    <tableColumn id="7" xr3:uid="{00000000-0010-0000-0100-000007000000}" name="May"/>
    <tableColumn id="8" xr3:uid="{00000000-0010-0000-0100-000008000000}" name="Jun"/>
    <tableColumn id="9" xr3:uid="{00000000-0010-0000-0100-000009000000}" name="Jul"/>
    <tableColumn id="10" xr3:uid="{00000000-0010-0000-0100-00000A000000}" name="Aug"/>
    <tableColumn id="11" xr3:uid="{00000000-0010-0000-0100-00000B000000}" name="Sep"/>
    <tableColumn id="12" xr3:uid="{00000000-0010-0000-0100-00000C000000}" name="Oct"/>
    <tableColumn id="13" xr3:uid="{00000000-0010-0000-0100-00000D000000}" name="Nov"/>
    <tableColumn id="14" xr3:uid="{00000000-0010-0000-0100-00000E000000}" name="Dec"/>
    <tableColumn id="15" xr3:uid="{00000000-0010-0000-0100-00000F000000}" name="Provided Tot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workbookViewId="0">
      <selection activeCell="B5" sqref="B5"/>
    </sheetView>
  </sheetViews>
  <sheetFormatPr defaultRowHeight="13.8"/>
  <cols>
    <col min="1" max="1" width="32" customWidth="1"/>
    <col min="2" max="2" width="24" customWidth="1"/>
    <col min="4" max="4" width="27" customWidth="1"/>
    <col min="5" max="6" width="20" customWidth="1"/>
  </cols>
  <sheetData>
    <row r="1" spans="1:8" ht="21.6">
      <c r="A1" s="72" t="s">
        <v>0</v>
      </c>
      <c r="B1" s="72"/>
      <c r="C1" s="72"/>
      <c r="D1" s="72"/>
      <c r="E1" s="72"/>
      <c r="F1" s="72"/>
      <c r="G1" s="72"/>
      <c r="H1" s="72"/>
    </row>
    <row r="2" spans="1:8" ht="14.4">
      <c r="A2" s="73" t="s">
        <v>1</v>
      </c>
      <c r="B2" s="73"/>
      <c r="C2" s="73"/>
      <c r="D2" s="73"/>
      <c r="E2" s="73"/>
      <c r="F2" s="73"/>
      <c r="G2" s="73"/>
      <c r="H2" s="73"/>
    </row>
    <row r="4" spans="1:8">
      <c r="A4" s="30" t="s">
        <v>2</v>
      </c>
      <c r="B4" s="31" t="s">
        <v>3</v>
      </c>
      <c r="D4" s="30" t="s">
        <v>4</v>
      </c>
      <c r="E4" s="37" t="s">
        <v>5</v>
      </c>
      <c r="F4" s="31" t="s">
        <v>6</v>
      </c>
    </row>
    <row r="5" spans="1:8" ht="18.45" customHeight="1">
      <c r="A5" s="16" t="s">
        <v>7</v>
      </c>
      <c r="B5" s="32">
        <f>Methodology!B6</f>
        <v>0.47499999999999998</v>
      </c>
      <c r="D5" s="16" t="str">
        <f>'Source Energy'!A13</f>
        <v>VCP</v>
      </c>
      <c r="E5" s="11">
        <f>SUM('Source Energy'!C13:N13)</f>
        <v>207741</v>
      </c>
      <c r="F5" s="38">
        <f>E5*Methodology!$B$6/1000</f>
        <v>98.676974999999985</v>
      </c>
    </row>
    <row r="6" spans="1:8" ht="18.45" customHeight="1">
      <c r="A6" s="16" t="s">
        <v>8</v>
      </c>
      <c r="B6" s="33">
        <f>'Source Energy'!O22</f>
        <v>1504283</v>
      </c>
      <c r="D6" s="16" t="str">
        <f>'Source Energy'!A14</f>
        <v>PANAL PLATE</v>
      </c>
      <c r="E6" s="11">
        <f>SUM('Source Energy'!C14:N14)</f>
        <v>201580</v>
      </c>
      <c r="F6" s="38">
        <f>E6*Methodology!$B$6/1000</f>
        <v>95.750500000000002</v>
      </c>
    </row>
    <row r="7" spans="1:8" ht="18.45" customHeight="1">
      <c r="A7" s="16" t="s">
        <v>9</v>
      </c>
      <c r="B7" s="34">
        <f>'Carbon Footprint'!O22/1000</f>
        <v>714.53442499999994</v>
      </c>
      <c r="D7" s="16" t="str">
        <f>'Source Energy'!A15</f>
        <v>E-CLIP ตู้ที่2</v>
      </c>
      <c r="E7" s="11">
        <f>SUM('Source Energy'!C15:N15)</f>
        <v>199947</v>
      </c>
      <c r="F7" s="38">
        <f>E7*Methodology!$B$6/1000</f>
        <v>94.974824999999996</v>
      </c>
    </row>
    <row r="8" spans="1:8" ht="18.45" customHeight="1">
      <c r="A8" s="16" t="s">
        <v>10</v>
      </c>
      <c r="B8" s="34">
        <f>'Carbon Footprint'!O21/1000</f>
        <v>587.05345</v>
      </c>
      <c r="D8" s="16" t="str">
        <f>'Source Energy'!A17</f>
        <v>ETCHING 1 ติด IMT</v>
      </c>
      <c r="E8" s="11">
        <f>SUM('Source Energy'!C17:N17)</f>
        <v>90123</v>
      </c>
      <c r="F8" s="38">
        <f>E8*Methodology!$B$6/1000</f>
        <v>42.808424999999993</v>
      </c>
    </row>
    <row r="9" spans="1:8" ht="18.45" customHeight="1">
      <c r="A9" s="35" t="s">
        <v>11</v>
      </c>
      <c r="B9" s="36">
        <f>'Carbon Footprint'!O23/1000</f>
        <v>127.48097499999997</v>
      </c>
      <c r="D9" s="35" t="str">
        <f>'Source Energy'!A16</f>
        <v>E-CLIP ตู้ที่3</v>
      </c>
      <c r="E9" s="39">
        <f>SUM('Source Energy'!C16:N16)</f>
        <v>78702</v>
      </c>
      <c r="F9" s="40">
        <f>E9*Methodology!$B$6/1000</f>
        <v>37.383449999999996</v>
      </c>
    </row>
    <row r="12" spans="1:8" ht="46.35" customHeight="1">
      <c r="A12" s="74" t="s">
        <v>12</v>
      </c>
      <c r="B12" s="74"/>
      <c r="C12" s="74"/>
      <c r="D12" s="74"/>
      <c r="E12" s="74"/>
      <c r="F12" s="74"/>
      <c r="G12" s="74"/>
      <c r="H12" s="74"/>
    </row>
    <row r="28" spans="1:8">
      <c r="A28" s="75" t="s">
        <v>13</v>
      </c>
      <c r="B28" s="75"/>
      <c r="C28" s="75"/>
      <c r="D28" s="75"/>
      <c r="E28" s="75"/>
      <c r="F28" s="75"/>
      <c r="G28" s="75"/>
      <c r="H28" s="75"/>
    </row>
    <row r="29" spans="1:8">
      <c r="A29" s="75"/>
      <c r="B29" s="75"/>
      <c r="C29" s="75"/>
      <c r="D29" s="75"/>
      <c r="E29" s="75"/>
      <c r="F29" s="75"/>
      <c r="G29" s="75"/>
      <c r="H29" s="75"/>
    </row>
  </sheetData>
  <mergeCells count="4">
    <mergeCell ref="A1:H1"/>
    <mergeCell ref="A2:H2"/>
    <mergeCell ref="A12:H12"/>
    <mergeCell ref="A28:H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
  <sheetViews>
    <sheetView tabSelected="1" workbookViewId="0">
      <selection activeCell="A5" sqref="A5"/>
    </sheetView>
  </sheetViews>
  <sheetFormatPr defaultRowHeight="13.8"/>
  <cols>
    <col min="1" max="1" width="28" customWidth="1"/>
    <col min="2" max="2" width="30" customWidth="1"/>
    <col min="3" max="15" width="12" customWidth="1"/>
  </cols>
  <sheetData>
    <row r="1" spans="1:15" ht="21">
      <c r="A1" s="69" t="s">
        <v>14</v>
      </c>
      <c r="B1" s="69"/>
      <c r="C1" s="69"/>
      <c r="D1" s="69"/>
      <c r="E1" s="69"/>
      <c r="F1" s="69"/>
      <c r="G1" s="69"/>
      <c r="H1" s="69"/>
      <c r="I1" s="69"/>
      <c r="J1" s="69"/>
      <c r="K1" s="69"/>
      <c r="L1" s="69"/>
      <c r="M1" s="69"/>
      <c r="N1" s="69"/>
      <c r="O1" s="69"/>
    </row>
    <row r="2" spans="1:15" ht="14.4">
      <c r="A2" s="70" t="s">
        <v>15</v>
      </c>
      <c r="B2" s="70"/>
      <c r="C2" s="70"/>
      <c r="D2" s="70"/>
      <c r="E2" s="70"/>
      <c r="F2" s="70"/>
      <c r="G2" s="70"/>
      <c r="H2" s="70"/>
      <c r="I2" s="70"/>
      <c r="J2" s="70"/>
      <c r="K2" s="70"/>
      <c r="L2" s="70"/>
      <c r="M2" s="70"/>
      <c r="N2" s="70"/>
      <c r="O2" s="70"/>
    </row>
    <row r="3" spans="1:15">
      <c r="A3" s="71" t="s">
        <v>16</v>
      </c>
      <c r="B3" s="71"/>
      <c r="C3" s="71"/>
      <c r="D3" s="71"/>
      <c r="E3" s="71"/>
      <c r="F3" s="71"/>
      <c r="G3" s="71"/>
      <c r="H3" s="71"/>
      <c r="I3" s="71"/>
      <c r="J3" s="71"/>
      <c r="K3" s="71"/>
      <c r="L3" s="71"/>
      <c r="M3" s="71"/>
      <c r="N3" s="71"/>
      <c r="O3" s="71"/>
    </row>
    <row r="4" spans="1:15">
      <c r="A4" s="43" t="s">
        <v>4</v>
      </c>
      <c r="B4" s="44" t="s">
        <v>17</v>
      </c>
      <c r="C4" s="41" t="s">
        <v>18</v>
      </c>
      <c r="D4" s="41" t="s">
        <v>19</v>
      </c>
      <c r="E4" s="41" t="s">
        <v>20</v>
      </c>
      <c r="F4" s="41" t="s">
        <v>21</v>
      </c>
      <c r="G4" s="41" t="s">
        <v>22</v>
      </c>
      <c r="H4" s="41" t="s">
        <v>23</v>
      </c>
      <c r="I4" s="41" t="s">
        <v>24</v>
      </c>
      <c r="J4" s="41" t="s">
        <v>25</v>
      </c>
      <c r="K4" s="41" t="s">
        <v>26</v>
      </c>
      <c r="L4" s="41" t="s">
        <v>27</v>
      </c>
      <c r="M4" s="41" t="s">
        <v>28</v>
      </c>
      <c r="N4" s="41" t="s">
        <v>29</v>
      </c>
      <c r="O4" s="42" t="s">
        <v>30</v>
      </c>
    </row>
    <row r="5" spans="1:15">
      <c r="A5" s="45" t="s">
        <v>31</v>
      </c>
      <c r="B5" s="46" t="s">
        <v>32</v>
      </c>
      <c r="C5" s="61">
        <f>'Source Energy'!C5*Methodology!$B$6</f>
        <v>5569.8499999999995</v>
      </c>
      <c r="D5" s="61">
        <f>'Source Energy'!D5*Methodology!$B$6</f>
        <v>4448.8499999999995</v>
      </c>
      <c r="E5" s="61">
        <f>'Source Energy'!E5*Methodology!$B$6</f>
        <v>6113.25</v>
      </c>
      <c r="F5" s="61">
        <f>'Source Energy'!F5*Methodology!$B$6</f>
        <v>5411.6750000000002</v>
      </c>
      <c r="G5" s="61">
        <f>'Source Energy'!G5*Methodology!$B$6</f>
        <v>7108.8499999999995</v>
      </c>
      <c r="H5" s="61">
        <f>'Source Energy'!H5*Methodology!$B$6</f>
        <v>6502.75</v>
      </c>
      <c r="I5" s="61">
        <f>'Source Energy'!I5*Methodology!$B$6</f>
        <v>0</v>
      </c>
      <c r="J5" s="61">
        <f>'Source Energy'!J5*Methodology!$B$6</f>
        <v>0</v>
      </c>
      <c r="K5" s="61">
        <f>'Source Energy'!K5*Methodology!$B$6</f>
        <v>0</v>
      </c>
      <c r="L5" s="61">
        <f>'Source Energy'!L5*Methodology!$B$6</f>
        <v>0</v>
      </c>
      <c r="M5" s="61">
        <f>'Source Energy'!M5*Methodology!$B$6</f>
        <v>0</v>
      </c>
      <c r="N5" s="61">
        <f>'Source Energy'!N5*Methodology!$B$6</f>
        <v>0</v>
      </c>
      <c r="O5" s="62">
        <f t="shared" ref="O5:O20" si="0">SUM(C5:N5)</f>
        <v>35155.224999999999</v>
      </c>
    </row>
    <row r="6" spans="1:15">
      <c r="A6" s="45" t="s">
        <v>33</v>
      </c>
      <c r="B6" s="46" t="s">
        <v>34</v>
      </c>
      <c r="C6" s="61">
        <f>'Source Energy'!C6*Methodology!$B$6</f>
        <v>460.27499999999998</v>
      </c>
      <c r="D6" s="61">
        <f>'Source Energy'!D6*Methodology!$B$6</f>
        <v>348.65</v>
      </c>
      <c r="E6" s="61">
        <f>'Source Energy'!E6*Methodology!$B$6</f>
        <v>492.09999999999997</v>
      </c>
      <c r="F6" s="61">
        <f>'Source Energy'!F6*Methodology!$B$6</f>
        <v>389.97499999999997</v>
      </c>
      <c r="G6" s="61">
        <f>'Source Energy'!G6*Methodology!$B$6</f>
        <v>479.27499999999998</v>
      </c>
      <c r="H6" s="61">
        <f>'Source Energy'!H6*Methodology!$B$6</f>
        <v>492.09999999999997</v>
      </c>
      <c r="I6" s="61">
        <f>'Source Energy'!I6*Methodology!$B$6</f>
        <v>0</v>
      </c>
      <c r="J6" s="61">
        <f>'Source Energy'!J6*Methodology!$B$6</f>
        <v>0</v>
      </c>
      <c r="K6" s="61">
        <f>'Source Energy'!K6*Methodology!$B$6</f>
        <v>0</v>
      </c>
      <c r="L6" s="61">
        <f>'Source Energy'!L6*Methodology!$B$6</f>
        <v>0</v>
      </c>
      <c r="M6" s="61">
        <f>'Source Energy'!M6*Methodology!$B$6</f>
        <v>0</v>
      </c>
      <c r="N6" s="61">
        <f>'Source Energy'!N6*Methodology!$B$6</f>
        <v>0</v>
      </c>
      <c r="O6" s="62">
        <f t="shared" si="0"/>
        <v>2662.3749999999995</v>
      </c>
    </row>
    <row r="7" spans="1:15">
      <c r="A7" s="45" t="s">
        <v>35</v>
      </c>
      <c r="B7" s="46" t="s">
        <v>34</v>
      </c>
      <c r="C7" s="61">
        <f>'Source Energy'!C7*Methodology!$B$6</f>
        <v>3416.6749999999997</v>
      </c>
      <c r="D7" s="61">
        <f>'Source Energy'!D7*Methodology!$B$6</f>
        <v>2810.5749999999998</v>
      </c>
      <c r="E7" s="61">
        <f>'Source Energy'!E7*Methodology!$B$6</f>
        <v>4175.7249999999995</v>
      </c>
      <c r="F7" s="61">
        <f>'Source Energy'!F7*Methodology!$B$6</f>
        <v>3489.8249999999998</v>
      </c>
      <c r="G7" s="61">
        <f>'Source Energy'!G7*Methodology!$B$6</f>
        <v>4275.4749999999995</v>
      </c>
      <c r="H7" s="61">
        <f>'Source Energy'!H7*Methodology!$B$6</f>
        <v>4026.5749999999998</v>
      </c>
      <c r="I7" s="61">
        <f>'Source Energy'!I7*Methodology!$B$6</f>
        <v>0</v>
      </c>
      <c r="J7" s="61">
        <f>'Source Energy'!J7*Methodology!$B$6</f>
        <v>0</v>
      </c>
      <c r="K7" s="61">
        <f>'Source Energy'!K7*Methodology!$B$6</f>
        <v>0</v>
      </c>
      <c r="L7" s="61">
        <f>'Source Energy'!L7*Methodology!$B$6</f>
        <v>0</v>
      </c>
      <c r="M7" s="61">
        <f>'Source Energy'!M7*Methodology!$B$6</f>
        <v>0</v>
      </c>
      <c r="N7" s="61">
        <f>'Source Energy'!N7*Methodology!$B$6</f>
        <v>0</v>
      </c>
      <c r="O7" s="62">
        <f t="shared" si="0"/>
        <v>22194.85</v>
      </c>
    </row>
    <row r="8" spans="1:15">
      <c r="A8" s="45" t="s">
        <v>36</v>
      </c>
      <c r="B8" s="46" t="s">
        <v>34</v>
      </c>
      <c r="C8" s="61">
        <f>'Source Energy'!C8*Methodology!$B$6</f>
        <v>1533.7749999999999</v>
      </c>
      <c r="D8" s="61">
        <f>'Source Energy'!D8*Methodology!$B$6</f>
        <v>1243.075</v>
      </c>
      <c r="E8" s="61">
        <f>'Source Energy'!E8*Methodology!$B$6</f>
        <v>1924.2249999999999</v>
      </c>
      <c r="F8" s="61">
        <f>'Source Energy'!F8*Methodology!$B$6</f>
        <v>1782.1999999999998</v>
      </c>
      <c r="G8" s="61">
        <f>'Source Energy'!G8*Methodology!$B$6</f>
        <v>2331.2999999999997</v>
      </c>
      <c r="H8" s="61">
        <f>'Source Energy'!H8*Methodology!$B$6</f>
        <v>2721.2750000000001</v>
      </c>
      <c r="I8" s="61">
        <f>'Source Energy'!I8*Methodology!$B$6</f>
        <v>0</v>
      </c>
      <c r="J8" s="61">
        <f>'Source Energy'!J8*Methodology!$B$6</f>
        <v>0</v>
      </c>
      <c r="K8" s="61">
        <f>'Source Energy'!K8*Methodology!$B$6</f>
        <v>0</v>
      </c>
      <c r="L8" s="61">
        <f>'Source Energy'!L8*Methodology!$B$6</f>
        <v>0</v>
      </c>
      <c r="M8" s="61">
        <f>'Source Energy'!M8*Methodology!$B$6</f>
        <v>0</v>
      </c>
      <c r="N8" s="61">
        <f>'Source Energy'!N8*Methodology!$B$6</f>
        <v>0</v>
      </c>
      <c r="O8" s="62">
        <f t="shared" si="0"/>
        <v>11535.849999999999</v>
      </c>
    </row>
    <row r="9" spans="1:15">
      <c r="A9" s="45" t="s">
        <v>37</v>
      </c>
      <c r="B9" s="46" t="s">
        <v>38</v>
      </c>
      <c r="C9" s="61">
        <f>'Source Energy'!C9*Methodology!$B$6</f>
        <v>2650.9749999999999</v>
      </c>
      <c r="D9" s="61">
        <f>'Source Energy'!D9*Methodology!$B$6</f>
        <v>2359.7999999999997</v>
      </c>
      <c r="E9" s="61">
        <f>'Source Energy'!E9*Methodology!$B$6</f>
        <v>2862.8249999999998</v>
      </c>
      <c r="F9" s="61">
        <f>'Source Energy'!F9*Methodology!$B$6</f>
        <v>2433.4249999999997</v>
      </c>
      <c r="G9" s="61">
        <f>'Source Energy'!G9*Methodology!$B$6</f>
        <v>2722.2249999999999</v>
      </c>
      <c r="H9" s="61">
        <f>'Source Energy'!H9*Methodology!$B$6</f>
        <v>2584</v>
      </c>
      <c r="I9" s="61">
        <f>'Source Energy'!I9*Methodology!$B$6</f>
        <v>0</v>
      </c>
      <c r="J9" s="61">
        <f>'Source Energy'!J9*Methodology!$B$6</f>
        <v>0</v>
      </c>
      <c r="K9" s="61">
        <f>'Source Energy'!K9*Methodology!$B$6</f>
        <v>0</v>
      </c>
      <c r="L9" s="61">
        <f>'Source Energy'!L9*Methodology!$B$6</f>
        <v>0</v>
      </c>
      <c r="M9" s="61">
        <f>'Source Energy'!M9*Methodology!$B$6</f>
        <v>0</v>
      </c>
      <c r="N9" s="61">
        <f>'Source Energy'!N9*Methodology!$B$6</f>
        <v>0</v>
      </c>
      <c r="O9" s="62">
        <f t="shared" si="0"/>
        <v>15613.25</v>
      </c>
    </row>
    <row r="10" spans="1:15">
      <c r="A10" s="45" t="s">
        <v>39</v>
      </c>
      <c r="B10" s="46" t="s">
        <v>40</v>
      </c>
      <c r="C10" s="61">
        <f>'Source Energy'!C10*Methodology!$B$6</f>
        <v>3099.375</v>
      </c>
      <c r="D10" s="61">
        <f>'Source Energy'!D10*Methodology!$B$6</f>
        <v>3406.7</v>
      </c>
      <c r="E10" s="61">
        <f>'Source Energy'!E10*Methodology!$B$6</f>
        <v>3009.125</v>
      </c>
      <c r="F10" s="61">
        <f>'Source Energy'!F10*Methodology!$B$6</f>
        <v>5927.0499999999993</v>
      </c>
      <c r="G10" s="61">
        <f>'Source Energy'!G10*Methodology!$B$6</f>
        <v>5911.375</v>
      </c>
      <c r="H10" s="61">
        <f>'Source Energy'!H10*Methodology!$B$6</f>
        <v>6939.2749999999996</v>
      </c>
      <c r="I10" s="61">
        <f>'Source Energy'!I10*Methodology!$B$6</f>
        <v>0</v>
      </c>
      <c r="J10" s="61">
        <f>'Source Energy'!J10*Methodology!$B$6</f>
        <v>0</v>
      </c>
      <c r="K10" s="61">
        <f>'Source Energy'!K10*Methodology!$B$6</f>
        <v>0</v>
      </c>
      <c r="L10" s="61">
        <f>'Source Energy'!L10*Methodology!$B$6</f>
        <v>0</v>
      </c>
      <c r="M10" s="61">
        <f>'Source Energy'!M10*Methodology!$B$6</f>
        <v>0</v>
      </c>
      <c r="N10" s="61">
        <f>'Source Energy'!N10*Methodology!$B$6</f>
        <v>0</v>
      </c>
      <c r="O10" s="62">
        <f t="shared" si="0"/>
        <v>28292.9</v>
      </c>
    </row>
    <row r="11" spans="1:15">
      <c r="A11" s="45" t="s">
        <v>41</v>
      </c>
      <c r="B11" s="46" t="s">
        <v>38</v>
      </c>
      <c r="C11" s="61">
        <f>'Source Energy'!C11*Methodology!$B$6</f>
        <v>2819.125</v>
      </c>
      <c r="D11" s="61">
        <f>'Source Energy'!D11*Methodology!$B$6</f>
        <v>1830.175</v>
      </c>
      <c r="E11" s="61">
        <f>'Source Energy'!E11*Methodology!$B$6</f>
        <v>2792.5250000000001</v>
      </c>
      <c r="F11" s="61">
        <f>'Source Energy'!F11*Methodology!$B$6</f>
        <v>1600.75</v>
      </c>
      <c r="G11" s="61">
        <f>'Source Energy'!G11*Methodology!$B$6</f>
        <v>2367.4</v>
      </c>
      <c r="H11" s="61">
        <f>'Source Energy'!H11*Methodology!$B$6</f>
        <v>2002.125</v>
      </c>
      <c r="I11" s="61">
        <f>'Source Energy'!I11*Methodology!$B$6</f>
        <v>0</v>
      </c>
      <c r="J11" s="61">
        <f>'Source Energy'!J11*Methodology!$B$6</f>
        <v>0</v>
      </c>
      <c r="K11" s="61">
        <f>'Source Energy'!K11*Methodology!$B$6</f>
        <v>0</v>
      </c>
      <c r="L11" s="61">
        <f>'Source Energy'!L11*Methodology!$B$6</f>
        <v>0</v>
      </c>
      <c r="M11" s="61">
        <f>'Source Energy'!M11*Methodology!$B$6</f>
        <v>0</v>
      </c>
      <c r="N11" s="61">
        <f>'Source Energy'!N11*Methodology!$B$6</f>
        <v>0</v>
      </c>
      <c r="O11" s="62">
        <f t="shared" si="0"/>
        <v>13412.1</v>
      </c>
    </row>
    <row r="12" spans="1:15">
      <c r="A12" s="45" t="s">
        <v>42</v>
      </c>
      <c r="B12" s="46" t="s">
        <v>38</v>
      </c>
      <c r="C12" s="61">
        <f>'Source Energy'!C12*Methodology!$B$6</f>
        <v>6243.4</v>
      </c>
      <c r="D12" s="61">
        <f>'Source Energy'!D12*Methodology!$B$6</f>
        <v>3671.75</v>
      </c>
      <c r="E12" s="61">
        <f>'Source Energy'!E12*Methodology!$B$6</f>
        <v>6220.5999999999995</v>
      </c>
      <c r="F12" s="61">
        <f>'Source Energy'!F12*Methodology!$B$6</f>
        <v>3594.3249999999998</v>
      </c>
      <c r="G12" s="61">
        <f>'Source Energy'!G12*Methodology!$B$6</f>
        <v>5338.05</v>
      </c>
      <c r="H12" s="61">
        <f>'Source Energy'!H12*Methodology!$B$6</f>
        <v>4562.8499999999995</v>
      </c>
      <c r="I12" s="61">
        <f>'Source Energy'!I12*Methodology!$B$6</f>
        <v>0</v>
      </c>
      <c r="J12" s="61">
        <f>'Source Energy'!J12*Methodology!$B$6</f>
        <v>0</v>
      </c>
      <c r="K12" s="61">
        <f>'Source Energy'!K12*Methodology!$B$6</f>
        <v>0</v>
      </c>
      <c r="L12" s="61">
        <f>'Source Energy'!L12*Methodology!$B$6</f>
        <v>0</v>
      </c>
      <c r="M12" s="61">
        <f>'Source Energy'!M12*Methodology!$B$6</f>
        <v>0</v>
      </c>
      <c r="N12" s="61">
        <f>'Source Energy'!N12*Methodology!$B$6</f>
        <v>0</v>
      </c>
      <c r="O12" s="62">
        <f t="shared" si="0"/>
        <v>29630.974999999999</v>
      </c>
    </row>
    <row r="13" spans="1:15">
      <c r="A13" s="45" t="s">
        <v>43</v>
      </c>
      <c r="B13" s="46" t="s">
        <v>44</v>
      </c>
      <c r="C13" s="61">
        <f>'Source Energy'!C13*Methodology!$B$6</f>
        <v>20777.924999999999</v>
      </c>
      <c r="D13" s="61">
        <f>'Source Energy'!D13*Methodology!$B$6</f>
        <v>13650.074999999999</v>
      </c>
      <c r="E13" s="61">
        <f>'Source Energy'!E13*Methodology!$B$6</f>
        <v>20091.55</v>
      </c>
      <c r="F13" s="61">
        <f>'Source Energy'!F13*Methodology!$B$6</f>
        <v>12652.099999999999</v>
      </c>
      <c r="G13" s="61">
        <f>'Source Energy'!G13*Methodology!$B$6</f>
        <v>16308.65</v>
      </c>
      <c r="H13" s="61">
        <f>'Source Energy'!H13*Methodology!$B$6</f>
        <v>15196.674999999999</v>
      </c>
      <c r="I13" s="61">
        <f>'Source Energy'!I13*Methodology!$B$6</f>
        <v>0</v>
      </c>
      <c r="J13" s="61">
        <f>'Source Energy'!J13*Methodology!$B$6</f>
        <v>0</v>
      </c>
      <c r="K13" s="61">
        <f>'Source Energy'!K13*Methodology!$B$6</f>
        <v>0</v>
      </c>
      <c r="L13" s="61">
        <f>'Source Energy'!L13*Methodology!$B$6</f>
        <v>0</v>
      </c>
      <c r="M13" s="61">
        <f>'Source Energy'!M13*Methodology!$B$6</f>
        <v>0</v>
      </c>
      <c r="N13" s="61">
        <f>'Source Energy'!N13*Methodology!$B$6</f>
        <v>0</v>
      </c>
      <c r="O13" s="62">
        <f t="shared" si="0"/>
        <v>98676.974999999991</v>
      </c>
    </row>
    <row r="14" spans="1:15">
      <c r="A14" s="45" t="s">
        <v>45</v>
      </c>
      <c r="B14" s="46" t="s">
        <v>46</v>
      </c>
      <c r="C14" s="61">
        <f>'Source Energy'!C14*Methodology!$B$6</f>
        <v>17832.45</v>
      </c>
      <c r="D14" s="61">
        <f>'Source Energy'!D14*Methodology!$B$6</f>
        <v>13756</v>
      </c>
      <c r="E14" s="61">
        <f>'Source Energy'!E14*Methodology!$B$6</f>
        <v>16923.774999999998</v>
      </c>
      <c r="F14" s="61">
        <f>'Source Energy'!F14*Methodology!$B$6</f>
        <v>14067.125</v>
      </c>
      <c r="G14" s="61">
        <f>'Source Energy'!G14*Methodology!$B$6</f>
        <v>17647.2</v>
      </c>
      <c r="H14" s="61">
        <f>'Source Energy'!H14*Methodology!$B$6</f>
        <v>15523.949999999999</v>
      </c>
      <c r="I14" s="61">
        <f>'Source Energy'!I14*Methodology!$B$6</f>
        <v>0</v>
      </c>
      <c r="J14" s="61">
        <f>'Source Energy'!J14*Methodology!$B$6</f>
        <v>0</v>
      </c>
      <c r="K14" s="61">
        <f>'Source Energy'!K14*Methodology!$B$6</f>
        <v>0</v>
      </c>
      <c r="L14" s="61">
        <f>'Source Energy'!L14*Methodology!$B$6</f>
        <v>0</v>
      </c>
      <c r="M14" s="61">
        <f>'Source Energy'!M14*Methodology!$B$6</f>
        <v>0</v>
      </c>
      <c r="N14" s="61">
        <f>'Source Energy'!N14*Methodology!$B$6</f>
        <v>0</v>
      </c>
      <c r="O14" s="62">
        <f t="shared" si="0"/>
        <v>95750.5</v>
      </c>
    </row>
    <row r="15" spans="1:15">
      <c r="A15" s="45" t="s">
        <v>47</v>
      </c>
      <c r="B15" s="46" t="s">
        <v>48</v>
      </c>
      <c r="C15" s="61">
        <f>'Source Energy'!C15*Methodology!$B$6</f>
        <v>15381.924999999999</v>
      </c>
      <c r="D15" s="61">
        <f>'Source Energy'!D15*Methodology!$B$6</f>
        <v>18027.674999999999</v>
      </c>
      <c r="E15" s="61">
        <f>'Source Energy'!E15*Methodology!$B$6</f>
        <v>16030.775</v>
      </c>
      <c r="F15" s="61">
        <f>'Source Energy'!F15*Methodology!$B$6</f>
        <v>13184.099999999999</v>
      </c>
      <c r="G15" s="61">
        <f>'Source Energy'!G15*Methodology!$B$6</f>
        <v>17421.099999999999</v>
      </c>
      <c r="H15" s="61">
        <f>'Source Energy'!H15*Methodology!$B$6</f>
        <v>14929.25</v>
      </c>
      <c r="I15" s="61">
        <f>'Source Energy'!I15*Methodology!$B$6</f>
        <v>0</v>
      </c>
      <c r="J15" s="61">
        <f>'Source Energy'!J15*Methodology!$B$6</f>
        <v>0</v>
      </c>
      <c r="K15" s="61">
        <f>'Source Energy'!K15*Methodology!$B$6</f>
        <v>0</v>
      </c>
      <c r="L15" s="61">
        <f>'Source Energy'!L15*Methodology!$B$6</f>
        <v>0</v>
      </c>
      <c r="M15" s="61">
        <f>'Source Energy'!M15*Methodology!$B$6</f>
        <v>0</v>
      </c>
      <c r="N15" s="61">
        <f>'Source Energy'!N15*Methodology!$B$6</f>
        <v>0</v>
      </c>
      <c r="O15" s="62">
        <f t="shared" si="0"/>
        <v>94974.824999999997</v>
      </c>
    </row>
    <row r="16" spans="1:15">
      <c r="A16" s="45" t="s">
        <v>49</v>
      </c>
      <c r="B16" s="46" t="s">
        <v>48</v>
      </c>
      <c r="C16" s="61">
        <f>'Source Energy'!C16*Methodology!$B$6</f>
        <v>6571.15</v>
      </c>
      <c r="D16" s="61">
        <f>'Source Energy'!D16*Methodology!$B$6</f>
        <v>5031.6750000000002</v>
      </c>
      <c r="E16" s="61">
        <f>'Source Energy'!E16*Methodology!$B$6</f>
        <v>6861.375</v>
      </c>
      <c r="F16" s="61">
        <f>'Source Energy'!F16*Methodology!$B$6</f>
        <v>5554.1750000000002</v>
      </c>
      <c r="G16" s="61">
        <f>'Source Energy'!G16*Methodology!$B$6</f>
        <v>7077.5</v>
      </c>
      <c r="H16" s="61">
        <f>'Source Energy'!H16*Methodology!$B$6</f>
        <v>6287.5749999999998</v>
      </c>
      <c r="I16" s="61">
        <f>'Source Energy'!I16*Methodology!$B$6</f>
        <v>0</v>
      </c>
      <c r="J16" s="61">
        <f>'Source Energy'!J16*Methodology!$B$6</f>
        <v>0</v>
      </c>
      <c r="K16" s="61">
        <f>'Source Energy'!K16*Methodology!$B$6</f>
        <v>0</v>
      </c>
      <c r="L16" s="61">
        <f>'Source Energy'!L16*Methodology!$B$6</f>
        <v>0</v>
      </c>
      <c r="M16" s="61">
        <f>'Source Energy'!M16*Methodology!$B$6</f>
        <v>0</v>
      </c>
      <c r="N16" s="61">
        <f>'Source Energy'!N16*Methodology!$B$6</f>
        <v>0</v>
      </c>
      <c r="O16" s="62">
        <f t="shared" si="0"/>
        <v>37383.449999999997</v>
      </c>
    </row>
    <row r="17" spans="1:15">
      <c r="A17" s="45" t="s">
        <v>50</v>
      </c>
      <c r="B17" s="46" t="s">
        <v>51</v>
      </c>
      <c r="C17" s="61">
        <f>'Source Energy'!C17*Methodology!$B$6</f>
        <v>10311.299999999999</v>
      </c>
      <c r="D17" s="61">
        <f>'Source Energy'!D17*Methodology!$B$6</f>
        <v>5713.7749999999996</v>
      </c>
      <c r="E17" s="61">
        <f>'Source Energy'!E17*Methodology!$B$6</f>
        <v>8213.2250000000004</v>
      </c>
      <c r="F17" s="61">
        <f>'Source Energy'!F17*Methodology!$B$6</f>
        <v>4943.3249999999998</v>
      </c>
      <c r="G17" s="61">
        <f>'Source Energy'!G17*Methodology!$B$6</f>
        <v>6961.125</v>
      </c>
      <c r="H17" s="61">
        <f>'Source Energy'!H17*Methodology!$B$6</f>
        <v>6665.6749999999993</v>
      </c>
      <c r="I17" s="61">
        <f>'Source Energy'!I17*Methodology!$B$6</f>
        <v>0</v>
      </c>
      <c r="J17" s="61">
        <f>'Source Energy'!J17*Methodology!$B$6</f>
        <v>0</v>
      </c>
      <c r="K17" s="61">
        <f>'Source Energy'!K17*Methodology!$B$6</f>
        <v>0</v>
      </c>
      <c r="L17" s="61">
        <f>'Source Energy'!L17*Methodology!$B$6</f>
        <v>0</v>
      </c>
      <c r="M17" s="61">
        <f>'Source Energy'!M17*Methodology!$B$6</f>
        <v>0</v>
      </c>
      <c r="N17" s="61">
        <f>'Source Energy'!N17*Methodology!$B$6</f>
        <v>0</v>
      </c>
      <c r="O17" s="62">
        <f t="shared" si="0"/>
        <v>42808.425000000003</v>
      </c>
    </row>
    <row r="18" spans="1:15">
      <c r="A18" s="45" t="s">
        <v>52</v>
      </c>
      <c r="B18" s="46" t="s">
        <v>51</v>
      </c>
      <c r="C18" s="61">
        <f>'Source Energy'!C18*Methodology!$B$6</f>
        <v>4230.3499999999995</v>
      </c>
      <c r="D18" s="61">
        <f>'Source Energy'!D18*Methodology!$B$6</f>
        <v>2699.9</v>
      </c>
      <c r="E18" s="61">
        <f>'Source Energy'!E18*Methodology!$B$6</f>
        <v>3811.875</v>
      </c>
      <c r="F18" s="61">
        <f>'Source Energy'!F18*Methodology!$B$6</f>
        <v>2221.1</v>
      </c>
      <c r="G18" s="61">
        <f>'Source Energy'!G18*Methodology!$B$6</f>
        <v>3244.7249999999999</v>
      </c>
      <c r="H18" s="61">
        <f>'Source Energy'!H18*Methodology!$B$6</f>
        <v>3144.5</v>
      </c>
      <c r="I18" s="61">
        <f>'Source Energy'!I18*Methodology!$B$6</f>
        <v>0</v>
      </c>
      <c r="J18" s="61">
        <f>'Source Energy'!J18*Methodology!$B$6</f>
        <v>0</v>
      </c>
      <c r="K18" s="61">
        <f>'Source Energy'!K18*Methodology!$B$6</f>
        <v>0</v>
      </c>
      <c r="L18" s="61">
        <f>'Source Energy'!L18*Methodology!$B$6</f>
        <v>0</v>
      </c>
      <c r="M18" s="61">
        <f>'Source Energy'!M18*Methodology!$B$6</f>
        <v>0</v>
      </c>
      <c r="N18" s="61">
        <f>'Source Energy'!N18*Methodology!$B$6</f>
        <v>0</v>
      </c>
      <c r="O18" s="62">
        <f t="shared" si="0"/>
        <v>19352.45</v>
      </c>
    </row>
    <row r="19" spans="1:15">
      <c r="A19" s="45" t="s">
        <v>53</v>
      </c>
      <c r="B19" s="46" t="s">
        <v>54</v>
      </c>
      <c r="C19" s="61">
        <f>'Source Energy'!C19*Methodology!$B$6</f>
        <v>3839.4249999999997</v>
      </c>
      <c r="D19" s="61">
        <f>'Source Energy'!D19*Methodology!$B$6</f>
        <v>3196.75</v>
      </c>
      <c r="E19" s="61">
        <f>'Source Energy'!E19*Methodology!$B$6</f>
        <v>3928.7249999999999</v>
      </c>
      <c r="F19" s="61">
        <f>'Source Energy'!F19*Methodology!$B$6</f>
        <v>2994.875</v>
      </c>
      <c r="G19" s="61">
        <f>'Source Energy'!G19*Methodology!$B$6</f>
        <v>3593.85</v>
      </c>
      <c r="H19" s="61">
        <f>'Source Energy'!H19*Methodology!$B$6</f>
        <v>2924.1</v>
      </c>
      <c r="I19" s="61">
        <f>'Source Energy'!I19*Methodology!$B$6</f>
        <v>0</v>
      </c>
      <c r="J19" s="61">
        <f>'Source Energy'!J19*Methodology!$B$6</f>
        <v>0</v>
      </c>
      <c r="K19" s="61">
        <f>'Source Energy'!K19*Methodology!$B$6</f>
        <v>0</v>
      </c>
      <c r="L19" s="61">
        <f>'Source Energy'!L19*Methodology!$B$6</f>
        <v>0</v>
      </c>
      <c r="M19" s="61">
        <f>'Source Energy'!M19*Methodology!$B$6</f>
        <v>0</v>
      </c>
      <c r="N19" s="61">
        <f>'Source Energy'!N19*Methodology!$B$6</f>
        <v>0</v>
      </c>
      <c r="O19" s="62">
        <f t="shared" si="0"/>
        <v>20477.724999999999</v>
      </c>
    </row>
    <row r="20" spans="1:15">
      <c r="A20" s="45" t="s">
        <v>55</v>
      </c>
      <c r="B20" s="46" t="s">
        <v>56</v>
      </c>
      <c r="C20" s="61">
        <f>'Source Energy'!C20*Methodology!$B$6</f>
        <v>2476.65</v>
      </c>
      <c r="D20" s="61">
        <f>'Source Energy'!D20*Methodology!$B$6</f>
        <v>3031.45</v>
      </c>
      <c r="E20" s="61">
        <f>'Source Energy'!E20*Methodology!$B$6</f>
        <v>3338.7749999999996</v>
      </c>
      <c r="F20" s="61">
        <f>'Source Energy'!F20*Methodology!$B$6</f>
        <v>3448.5</v>
      </c>
      <c r="G20" s="61">
        <f>'Source Energy'!G20*Methodology!$B$6</f>
        <v>3353.0249999999996</v>
      </c>
      <c r="H20" s="61">
        <f>'Source Energy'!H20*Methodology!$B$6</f>
        <v>3483.1749999999997</v>
      </c>
      <c r="I20" s="61">
        <f>'Source Energy'!I20*Methodology!$B$6</f>
        <v>0</v>
      </c>
      <c r="J20" s="61">
        <f>'Source Energy'!J20*Methodology!$B$6</f>
        <v>0</v>
      </c>
      <c r="K20" s="61">
        <f>'Source Energy'!K20*Methodology!$B$6</f>
        <v>0</v>
      </c>
      <c r="L20" s="61">
        <f>'Source Energy'!L20*Methodology!$B$6</f>
        <v>0</v>
      </c>
      <c r="M20" s="61">
        <f>'Source Energy'!M20*Methodology!$B$6</f>
        <v>0</v>
      </c>
      <c r="N20" s="61">
        <f>'Source Energy'!N20*Methodology!$B$6</f>
        <v>0</v>
      </c>
      <c r="O20" s="62">
        <f t="shared" si="0"/>
        <v>19131.575000000001</v>
      </c>
    </row>
    <row r="21" spans="1:15">
      <c r="A21" s="49"/>
      <c r="B21" s="50" t="s">
        <v>57</v>
      </c>
      <c r="C21" s="63">
        <f t="shared" ref="C21:O21" si="1">SUM(C5:C20)</f>
        <v>107214.625</v>
      </c>
      <c r="D21" s="63">
        <f t="shared" si="1"/>
        <v>85226.874999999985</v>
      </c>
      <c r="E21" s="63">
        <f t="shared" si="1"/>
        <v>106790.45</v>
      </c>
      <c r="F21" s="63">
        <f t="shared" si="1"/>
        <v>83694.524999999994</v>
      </c>
      <c r="G21" s="63">
        <f t="shared" si="1"/>
        <v>106141.125</v>
      </c>
      <c r="H21" s="63">
        <f t="shared" si="1"/>
        <v>97985.85</v>
      </c>
      <c r="I21" s="63">
        <f t="shared" si="1"/>
        <v>0</v>
      </c>
      <c r="J21" s="63">
        <f t="shared" si="1"/>
        <v>0</v>
      </c>
      <c r="K21" s="63">
        <f t="shared" si="1"/>
        <v>0</v>
      </c>
      <c r="L21" s="63">
        <f t="shared" si="1"/>
        <v>0</v>
      </c>
      <c r="M21" s="63">
        <f t="shared" si="1"/>
        <v>0</v>
      </c>
      <c r="N21" s="63">
        <f t="shared" si="1"/>
        <v>0</v>
      </c>
      <c r="O21" s="64">
        <f t="shared" si="1"/>
        <v>587053.44999999995</v>
      </c>
    </row>
    <row r="22" spans="1:15" ht="27.6">
      <c r="A22" s="53"/>
      <c r="B22" s="54" t="s">
        <v>58</v>
      </c>
      <c r="C22" s="65">
        <f>'Source Energy'!C22*Methodology!$B$6</f>
        <v>129531.075</v>
      </c>
      <c r="D22" s="65">
        <f>'Source Energy'!D22*Methodology!$B$6</f>
        <v>103493</v>
      </c>
      <c r="E22" s="65">
        <f>'Source Energy'!E22*Methodology!$B$6</f>
        <v>129694.95</v>
      </c>
      <c r="F22" s="65">
        <f>'Source Energy'!F22*Methodology!$B$6</f>
        <v>102277.47499999999</v>
      </c>
      <c r="G22" s="65">
        <f>'Source Energy'!G22*Methodology!$B$6</f>
        <v>130399.375</v>
      </c>
      <c r="H22" s="65">
        <f>'Source Energy'!H22*Methodology!$B$6</f>
        <v>119138.54999999999</v>
      </c>
      <c r="I22" s="65">
        <f>'Source Energy'!I22*Methodology!$B$6</f>
        <v>0</v>
      </c>
      <c r="J22" s="65">
        <f>'Source Energy'!J22*Methodology!$B$6</f>
        <v>0</v>
      </c>
      <c r="K22" s="65">
        <f>'Source Energy'!K22*Methodology!$B$6</f>
        <v>0</v>
      </c>
      <c r="L22" s="65">
        <f>'Source Energy'!L22*Methodology!$B$6</f>
        <v>0</v>
      </c>
      <c r="M22" s="65">
        <f>'Source Energy'!M22*Methodology!$B$6</f>
        <v>0</v>
      </c>
      <c r="N22" s="65">
        <f>'Source Energy'!N22*Methodology!$B$6</f>
        <v>0</v>
      </c>
      <c r="O22" s="66">
        <f>'Source Energy'!O22*Methodology!$B$6</f>
        <v>714534.42499999993</v>
      </c>
    </row>
    <row r="23" spans="1:15">
      <c r="A23" s="57"/>
      <c r="B23" s="58" t="s">
        <v>59</v>
      </c>
      <c r="C23" s="67">
        <f t="shared" ref="C23:O23" si="2">C22-C21</f>
        <v>22316.449999999997</v>
      </c>
      <c r="D23" s="67">
        <f t="shared" si="2"/>
        <v>18266.125000000015</v>
      </c>
      <c r="E23" s="67">
        <f t="shared" si="2"/>
        <v>22904.5</v>
      </c>
      <c r="F23" s="67">
        <f t="shared" si="2"/>
        <v>18582.949999999997</v>
      </c>
      <c r="G23" s="67">
        <f t="shared" si="2"/>
        <v>24258.25</v>
      </c>
      <c r="H23" s="67">
        <f t="shared" si="2"/>
        <v>21152.699999999983</v>
      </c>
      <c r="I23" s="67">
        <f t="shared" si="2"/>
        <v>0</v>
      </c>
      <c r="J23" s="67">
        <f t="shared" si="2"/>
        <v>0</v>
      </c>
      <c r="K23" s="67">
        <f t="shared" si="2"/>
        <v>0</v>
      </c>
      <c r="L23" s="67">
        <f t="shared" si="2"/>
        <v>0</v>
      </c>
      <c r="M23" s="67">
        <f t="shared" si="2"/>
        <v>0</v>
      </c>
      <c r="N23" s="67">
        <f t="shared" si="2"/>
        <v>0</v>
      </c>
      <c r="O23" s="68">
        <f t="shared" si="2"/>
        <v>127480.97499999998</v>
      </c>
    </row>
  </sheetData>
  <mergeCells count="3">
    <mergeCell ref="A1:O1"/>
    <mergeCell ref="A2:O2"/>
    <mergeCell ref="A3:O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
  <sheetViews>
    <sheetView workbookViewId="0">
      <selection activeCell="C23" sqref="C23"/>
    </sheetView>
  </sheetViews>
  <sheetFormatPr defaultRowHeight="13.8"/>
  <cols>
    <col min="1" max="1" width="28" customWidth="1"/>
    <col min="2" max="2" width="30" customWidth="1"/>
    <col min="3" max="15" width="11" customWidth="1"/>
  </cols>
  <sheetData>
    <row r="1" spans="1:15" ht="21">
      <c r="A1" s="69" t="s">
        <v>60</v>
      </c>
      <c r="B1" s="69"/>
      <c r="C1" s="69"/>
      <c r="D1" s="69"/>
      <c r="E1" s="69"/>
      <c r="F1" s="69"/>
      <c r="G1" s="69"/>
      <c r="H1" s="69"/>
      <c r="I1" s="69"/>
      <c r="J1" s="69"/>
      <c r="K1" s="69"/>
      <c r="L1" s="69"/>
      <c r="M1" s="69"/>
      <c r="N1" s="69"/>
      <c r="O1" s="69"/>
    </row>
    <row r="3" spans="1:15">
      <c r="A3" s="71" t="s">
        <v>61</v>
      </c>
      <c r="B3" s="71"/>
      <c r="C3" s="71"/>
      <c r="D3" s="71"/>
      <c r="E3" s="71"/>
      <c r="F3" s="71"/>
      <c r="G3" s="71"/>
      <c r="H3" s="71"/>
      <c r="I3" s="71"/>
      <c r="J3" s="71"/>
      <c r="K3" s="71"/>
      <c r="L3" s="71"/>
      <c r="M3" s="71"/>
      <c r="N3" s="71"/>
      <c r="O3" s="71"/>
    </row>
    <row r="4" spans="1:15">
      <c r="A4" s="43" t="s">
        <v>4</v>
      </c>
      <c r="B4" s="44" t="s">
        <v>17</v>
      </c>
      <c r="C4" s="41" t="s">
        <v>18</v>
      </c>
      <c r="D4" s="41" t="s">
        <v>19</v>
      </c>
      <c r="E4" s="41" t="s">
        <v>20</v>
      </c>
      <c r="F4" s="41" t="s">
        <v>21</v>
      </c>
      <c r="G4" s="41" t="s">
        <v>22</v>
      </c>
      <c r="H4" s="41" t="s">
        <v>23</v>
      </c>
      <c r="I4" s="41" t="s">
        <v>24</v>
      </c>
      <c r="J4" s="41" t="s">
        <v>25</v>
      </c>
      <c r="K4" s="41" t="s">
        <v>26</v>
      </c>
      <c r="L4" s="41" t="s">
        <v>27</v>
      </c>
      <c r="M4" s="41" t="s">
        <v>28</v>
      </c>
      <c r="N4" s="41" t="s">
        <v>29</v>
      </c>
      <c r="O4" s="42" t="s">
        <v>62</v>
      </c>
    </row>
    <row r="5" spans="1:15">
      <c r="A5" s="45" t="s">
        <v>31</v>
      </c>
      <c r="B5" s="46" t="s">
        <v>32</v>
      </c>
      <c r="C5" s="47">
        <v>11726</v>
      </c>
      <c r="D5" s="47">
        <v>9366</v>
      </c>
      <c r="E5" s="47">
        <v>12870</v>
      </c>
      <c r="F5" s="47">
        <v>11393</v>
      </c>
      <c r="G5" s="47">
        <v>14966</v>
      </c>
      <c r="H5" s="47">
        <v>13690</v>
      </c>
      <c r="I5" s="47">
        <v>0</v>
      </c>
      <c r="J5" s="47">
        <v>0</v>
      </c>
      <c r="K5" s="47">
        <v>0</v>
      </c>
      <c r="L5" s="47">
        <v>0</v>
      </c>
      <c r="M5" s="47">
        <v>0</v>
      </c>
      <c r="N5" s="47">
        <v>0</v>
      </c>
      <c r="O5" s="48">
        <v>74011</v>
      </c>
    </row>
    <row r="6" spans="1:15">
      <c r="A6" s="45" t="s">
        <v>33</v>
      </c>
      <c r="B6" s="46" t="s">
        <v>34</v>
      </c>
      <c r="C6" s="47">
        <v>969</v>
      </c>
      <c r="D6" s="47">
        <v>734</v>
      </c>
      <c r="E6" s="47">
        <v>1036</v>
      </c>
      <c r="F6" s="47">
        <v>821</v>
      </c>
      <c r="G6" s="47">
        <v>1009</v>
      </c>
      <c r="H6" s="47">
        <v>1036</v>
      </c>
      <c r="I6" s="47">
        <v>0</v>
      </c>
      <c r="J6" s="47">
        <v>0</v>
      </c>
      <c r="K6" s="47">
        <v>0</v>
      </c>
      <c r="L6" s="47">
        <v>0</v>
      </c>
      <c r="M6" s="47">
        <v>0</v>
      </c>
      <c r="N6" s="47">
        <v>0</v>
      </c>
      <c r="O6" s="48">
        <v>5605</v>
      </c>
    </row>
    <row r="7" spans="1:15">
      <c r="A7" s="45" t="s">
        <v>35</v>
      </c>
      <c r="B7" s="46" t="s">
        <v>34</v>
      </c>
      <c r="C7" s="47">
        <v>7193</v>
      </c>
      <c r="D7" s="47">
        <v>5917</v>
      </c>
      <c r="E7" s="47">
        <v>8791</v>
      </c>
      <c r="F7" s="47">
        <v>7347</v>
      </c>
      <c r="G7" s="47">
        <v>9001</v>
      </c>
      <c r="H7" s="47">
        <v>8477</v>
      </c>
      <c r="I7" s="47">
        <v>0</v>
      </c>
      <c r="J7" s="47">
        <v>0</v>
      </c>
      <c r="K7" s="47">
        <v>0</v>
      </c>
      <c r="L7" s="47">
        <v>0</v>
      </c>
      <c r="M7" s="47">
        <v>0</v>
      </c>
      <c r="N7" s="47">
        <v>0</v>
      </c>
      <c r="O7" s="48">
        <v>46726</v>
      </c>
    </row>
    <row r="8" spans="1:15">
      <c r="A8" s="45" t="s">
        <v>36</v>
      </c>
      <c r="B8" s="46" t="s">
        <v>34</v>
      </c>
      <c r="C8" s="47">
        <v>3229</v>
      </c>
      <c r="D8" s="47">
        <v>2617</v>
      </c>
      <c r="E8" s="47">
        <v>4051</v>
      </c>
      <c r="F8" s="47">
        <v>3752</v>
      </c>
      <c r="G8" s="47">
        <v>4908</v>
      </c>
      <c r="H8" s="47">
        <v>5729</v>
      </c>
      <c r="I8" s="47">
        <v>0</v>
      </c>
      <c r="J8" s="47">
        <v>0</v>
      </c>
      <c r="K8" s="47">
        <v>0</v>
      </c>
      <c r="L8" s="47">
        <v>0</v>
      </c>
      <c r="M8" s="47">
        <v>0</v>
      </c>
      <c r="N8" s="47">
        <v>0</v>
      </c>
      <c r="O8" s="48">
        <v>24286</v>
      </c>
    </row>
    <row r="9" spans="1:15">
      <c r="A9" s="45" t="s">
        <v>37</v>
      </c>
      <c r="B9" s="46" t="s">
        <v>38</v>
      </c>
      <c r="C9" s="47">
        <v>5581</v>
      </c>
      <c r="D9" s="47">
        <v>4968</v>
      </c>
      <c r="E9" s="47">
        <v>6027</v>
      </c>
      <c r="F9" s="47">
        <v>5123</v>
      </c>
      <c r="G9" s="47">
        <v>5731</v>
      </c>
      <c r="H9" s="47">
        <v>5440</v>
      </c>
      <c r="I9" s="47">
        <v>0</v>
      </c>
      <c r="J9" s="47">
        <v>0</v>
      </c>
      <c r="K9" s="47">
        <v>0</v>
      </c>
      <c r="L9" s="47">
        <v>0</v>
      </c>
      <c r="M9" s="47">
        <v>0</v>
      </c>
      <c r="N9" s="47">
        <v>0</v>
      </c>
      <c r="O9" s="48">
        <v>32870</v>
      </c>
    </row>
    <row r="10" spans="1:15">
      <c r="A10" s="45" t="s">
        <v>39</v>
      </c>
      <c r="B10" s="46" t="s">
        <v>40</v>
      </c>
      <c r="C10" s="47">
        <v>6525</v>
      </c>
      <c r="D10" s="47">
        <v>7172</v>
      </c>
      <c r="E10" s="47">
        <v>6335</v>
      </c>
      <c r="F10" s="47">
        <v>12478</v>
      </c>
      <c r="G10" s="47">
        <v>12445</v>
      </c>
      <c r="H10" s="47">
        <v>14609</v>
      </c>
      <c r="I10" s="47">
        <v>0</v>
      </c>
      <c r="J10" s="47">
        <v>0</v>
      </c>
      <c r="K10" s="47">
        <v>0</v>
      </c>
      <c r="L10" s="47">
        <v>0</v>
      </c>
      <c r="M10" s="47">
        <v>0</v>
      </c>
      <c r="N10" s="47">
        <v>0</v>
      </c>
      <c r="O10" s="48">
        <v>60104</v>
      </c>
    </row>
    <row r="11" spans="1:15">
      <c r="A11" s="45" t="s">
        <v>41</v>
      </c>
      <c r="B11" s="46" t="s">
        <v>38</v>
      </c>
      <c r="C11" s="47">
        <v>5935</v>
      </c>
      <c r="D11" s="47">
        <v>3853</v>
      </c>
      <c r="E11" s="47">
        <v>5879</v>
      </c>
      <c r="F11" s="47">
        <v>3370</v>
      </c>
      <c r="G11" s="47">
        <v>4984</v>
      </c>
      <c r="H11" s="47">
        <v>4215</v>
      </c>
      <c r="I11" s="47">
        <v>0</v>
      </c>
      <c r="J11" s="47">
        <v>0</v>
      </c>
      <c r="K11" s="47">
        <v>0</v>
      </c>
      <c r="L11" s="47">
        <v>0</v>
      </c>
      <c r="M11" s="47">
        <v>0</v>
      </c>
      <c r="N11" s="47">
        <v>0</v>
      </c>
      <c r="O11" s="48">
        <v>28236</v>
      </c>
    </row>
    <row r="12" spans="1:15">
      <c r="A12" s="45" t="s">
        <v>42</v>
      </c>
      <c r="B12" s="46" t="s">
        <v>38</v>
      </c>
      <c r="C12" s="47">
        <v>13144</v>
      </c>
      <c r="D12" s="47">
        <v>7730</v>
      </c>
      <c r="E12" s="47">
        <v>13096</v>
      </c>
      <c r="F12" s="47">
        <v>7567</v>
      </c>
      <c r="G12" s="47">
        <v>11238</v>
      </c>
      <c r="H12" s="47">
        <v>9606</v>
      </c>
      <c r="I12" s="47">
        <v>0</v>
      </c>
      <c r="J12" s="47">
        <v>0</v>
      </c>
      <c r="K12" s="47">
        <v>0</v>
      </c>
      <c r="L12" s="47">
        <v>0</v>
      </c>
      <c r="M12" s="47">
        <v>0</v>
      </c>
      <c r="N12" s="47">
        <v>0</v>
      </c>
      <c r="O12" s="48">
        <v>62381</v>
      </c>
    </row>
    <row r="13" spans="1:15">
      <c r="A13" s="45" t="s">
        <v>43</v>
      </c>
      <c r="B13" s="46" t="s">
        <v>44</v>
      </c>
      <c r="C13" s="47">
        <v>43743</v>
      </c>
      <c r="D13" s="47">
        <v>28737</v>
      </c>
      <c r="E13" s="47">
        <v>42298</v>
      </c>
      <c r="F13" s="47">
        <v>26636</v>
      </c>
      <c r="G13" s="47">
        <v>34334</v>
      </c>
      <c r="H13" s="47">
        <v>31993</v>
      </c>
      <c r="I13" s="47">
        <v>0</v>
      </c>
      <c r="J13" s="47">
        <v>0</v>
      </c>
      <c r="K13" s="47">
        <v>0</v>
      </c>
      <c r="L13" s="47">
        <v>0</v>
      </c>
      <c r="M13" s="47">
        <v>0</v>
      </c>
      <c r="N13" s="47">
        <v>0</v>
      </c>
      <c r="O13" s="48">
        <v>207741</v>
      </c>
    </row>
    <row r="14" spans="1:15">
      <c r="A14" s="45" t="s">
        <v>45</v>
      </c>
      <c r="B14" s="46" t="s">
        <v>46</v>
      </c>
      <c r="C14" s="47">
        <v>37542</v>
      </c>
      <c r="D14" s="47">
        <v>28960</v>
      </c>
      <c r="E14" s="47">
        <v>35629</v>
      </c>
      <c r="F14" s="47">
        <v>29615</v>
      </c>
      <c r="G14" s="47">
        <v>37152</v>
      </c>
      <c r="H14" s="47">
        <v>32682</v>
      </c>
      <c r="I14" s="47">
        <v>0</v>
      </c>
      <c r="J14" s="47">
        <v>0</v>
      </c>
      <c r="K14" s="47">
        <v>0</v>
      </c>
      <c r="L14" s="47">
        <v>0</v>
      </c>
      <c r="M14" s="47">
        <v>0</v>
      </c>
      <c r="N14" s="47">
        <v>0</v>
      </c>
      <c r="O14" s="48">
        <v>201580</v>
      </c>
    </row>
    <row r="15" spans="1:15">
      <c r="A15" s="45" t="s">
        <v>47</v>
      </c>
      <c r="B15" s="46" t="s">
        <v>48</v>
      </c>
      <c r="C15" s="47">
        <v>32383</v>
      </c>
      <c r="D15" s="47">
        <v>37953</v>
      </c>
      <c r="E15" s="47">
        <v>33749</v>
      </c>
      <c r="F15" s="47">
        <v>27756</v>
      </c>
      <c r="G15" s="47">
        <v>36676</v>
      </c>
      <c r="H15" s="47">
        <v>31430</v>
      </c>
      <c r="I15" s="47">
        <v>0</v>
      </c>
      <c r="J15" s="47">
        <v>0</v>
      </c>
      <c r="K15" s="47">
        <v>0</v>
      </c>
      <c r="L15" s="47">
        <v>0</v>
      </c>
      <c r="M15" s="47">
        <v>0</v>
      </c>
      <c r="N15" s="47">
        <v>0</v>
      </c>
      <c r="O15" s="48">
        <v>189929</v>
      </c>
    </row>
    <row r="16" spans="1:15">
      <c r="A16" s="45" t="s">
        <v>49</v>
      </c>
      <c r="B16" s="46" t="s">
        <v>48</v>
      </c>
      <c r="C16" s="47">
        <v>13834</v>
      </c>
      <c r="D16" s="47">
        <v>10593</v>
      </c>
      <c r="E16" s="47">
        <v>14445</v>
      </c>
      <c r="F16" s="47">
        <v>11693</v>
      </c>
      <c r="G16" s="47">
        <v>14900</v>
      </c>
      <c r="H16" s="47">
        <v>13237</v>
      </c>
      <c r="I16" s="47">
        <v>0</v>
      </c>
      <c r="J16" s="47">
        <v>0</v>
      </c>
      <c r="K16" s="47">
        <v>0</v>
      </c>
      <c r="L16" s="47">
        <v>0</v>
      </c>
      <c r="M16" s="47">
        <v>0</v>
      </c>
      <c r="N16" s="47">
        <v>0</v>
      </c>
      <c r="O16" s="48">
        <v>78702</v>
      </c>
    </row>
    <row r="17" spans="1:15">
      <c r="A17" s="45" t="s">
        <v>50</v>
      </c>
      <c r="B17" s="46" t="s">
        <v>51</v>
      </c>
      <c r="C17" s="47">
        <v>21708</v>
      </c>
      <c r="D17" s="47">
        <v>12029</v>
      </c>
      <c r="E17" s="47">
        <v>17291</v>
      </c>
      <c r="F17" s="47">
        <v>10407</v>
      </c>
      <c r="G17" s="47">
        <v>14655</v>
      </c>
      <c r="H17" s="47">
        <v>14033</v>
      </c>
      <c r="I17" s="47">
        <v>0</v>
      </c>
      <c r="J17" s="47">
        <v>0</v>
      </c>
      <c r="K17" s="47">
        <v>0</v>
      </c>
      <c r="L17" s="47">
        <v>0</v>
      </c>
      <c r="M17" s="47">
        <v>0</v>
      </c>
      <c r="N17" s="47">
        <v>0</v>
      </c>
      <c r="O17" s="48">
        <v>90123</v>
      </c>
    </row>
    <row r="18" spans="1:15">
      <c r="A18" s="45" t="s">
        <v>52</v>
      </c>
      <c r="B18" s="46" t="s">
        <v>51</v>
      </c>
      <c r="C18" s="47">
        <v>8906</v>
      </c>
      <c r="D18" s="47">
        <v>5684</v>
      </c>
      <c r="E18" s="47">
        <v>8025</v>
      </c>
      <c r="F18" s="47">
        <v>4676</v>
      </c>
      <c r="G18" s="47">
        <v>6831</v>
      </c>
      <c r="H18" s="47">
        <v>6620</v>
      </c>
      <c r="I18" s="47">
        <v>0</v>
      </c>
      <c r="J18" s="47">
        <v>0</v>
      </c>
      <c r="K18" s="47">
        <v>0</v>
      </c>
      <c r="L18" s="47">
        <v>0</v>
      </c>
      <c r="M18" s="47">
        <v>0</v>
      </c>
      <c r="N18" s="47">
        <v>0</v>
      </c>
      <c r="O18" s="48">
        <v>40742</v>
      </c>
    </row>
    <row r="19" spans="1:15">
      <c r="A19" s="45" t="s">
        <v>53</v>
      </c>
      <c r="B19" s="46" t="s">
        <v>54</v>
      </c>
      <c r="C19" s="47">
        <v>8083</v>
      </c>
      <c r="D19" s="47">
        <v>6730</v>
      </c>
      <c r="E19" s="47">
        <v>8271</v>
      </c>
      <c r="F19" s="47">
        <v>6305</v>
      </c>
      <c r="G19" s="47">
        <v>7566</v>
      </c>
      <c r="H19" s="47">
        <v>6156</v>
      </c>
      <c r="I19" s="47">
        <v>0</v>
      </c>
      <c r="J19" s="47">
        <v>0</v>
      </c>
      <c r="K19" s="47">
        <v>0</v>
      </c>
      <c r="L19" s="47">
        <v>0</v>
      </c>
      <c r="M19" s="47">
        <v>0</v>
      </c>
      <c r="N19" s="47">
        <v>0</v>
      </c>
      <c r="O19" s="48">
        <v>43111</v>
      </c>
    </row>
    <row r="20" spans="1:15">
      <c r="A20" s="45" t="s">
        <v>55</v>
      </c>
      <c r="B20" s="46" t="s">
        <v>56</v>
      </c>
      <c r="C20" s="47">
        <v>5214</v>
      </c>
      <c r="D20" s="47">
        <v>6382</v>
      </c>
      <c r="E20" s="47">
        <v>7029</v>
      </c>
      <c r="F20" s="47">
        <v>7260</v>
      </c>
      <c r="G20" s="47">
        <v>7059</v>
      </c>
      <c r="H20" s="47">
        <v>7333</v>
      </c>
      <c r="I20" s="47">
        <v>0</v>
      </c>
      <c r="J20" s="47">
        <v>0</v>
      </c>
      <c r="K20" s="47">
        <v>0</v>
      </c>
      <c r="L20" s="47">
        <v>0</v>
      </c>
      <c r="M20" s="47">
        <v>0</v>
      </c>
      <c r="N20" s="47">
        <v>0</v>
      </c>
      <c r="O20" s="48">
        <v>40277</v>
      </c>
    </row>
    <row r="21" spans="1:15">
      <c r="A21" s="49"/>
      <c r="B21" s="50" t="s">
        <v>57</v>
      </c>
      <c r="C21" s="51">
        <f t="shared" ref="C21:O21" si="0">SUM(C5:C20)</f>
        <v>225715</v>
      </c>
      <c r="D21" s="51">
        <f t="shared" si="0"/>
        <v>179425</v>
      </c>
      <c r="E21" s="51">
        <f t="shared" si="0"/>
        <v>224822</v>
      </c>
      <c r="F21" s="51">
        <f t="shared" si="0"/>
        <v>176199</v>
      </c>
      <c r="G21" s="51">
        <f t="shared" si="0"/>
        <v>223455</v>
      </c>
      <c r="H21" s="51">
        <f t="shared" si="0"/>
        <v>206286</v>
      </c>
      <c r="I21" s="51">
        <f t="shared" si="0"/>
        <v>0</v>
      </c>
      <c r="J21" s="51">
        <f t="shared" si="0"/>
        <v>0</v>
      </c>
      <c r="K21" s="51">
        <f t="shared" si="0"/>
        <v>0</v>
      </c>
      <c r="L21" s="51">
        <f t="shared" si="0"/>
        <v>0</v>
      </c>
      <c r="M21" s="51">
        <f t="shared" si="0"/>
        <v>0</v>
      </c>
      <c r="N21" s="51">
        <f t="shared" si="0"/>
        <v>0</v>
      </c>
      <c r="O21" s="52">
        <f t="shared" si="0"/>
        <v>1226424</v>
      </c>
    </row>
    <row r="22" spans="1:15" ht="27.6">
      <c r="A22" s="53"/>
      <c r="B22" s="54" t="s">
        <v>58</v>
      </c>
      <c r="C22" s="55">
        <v>272697</v>
      </c>
      <c r="D22" s="55">
        <v>217880</v>
      </c>
      <c r="E22" s="55">
        <v>273042</v>
      </c>
      <c r="F22" s="55">
        <v>215321</v>
      </c>
      <c r="G22" s="55">
        <v>274525</v>
      </c>
      <c r="H22" s="55">
        <v>250818</v>
      </c>
      <c r="I22" s="55">
        <v>0</v>
      </c>
      <c r="J22" s="55">
        <v>0</v>
      </c>
      <c r="K22" s="55">
        <v>0</v>
      </c>
      <c r="L22" s="55">
        <v>0</v>
      </c>
      <c r="M22" s="55">
        <v>0</v>
      </c>
      <c r="N22" s="55">
        <v>0</v>
      </c>
      <c r="O22" s="56">
        <v>1504283</v>
      </c>
    </row>
    <row r="23" spans="1:15">
      <c r="A23" s="57"/>
      <c r="B23" s="58" t="s">
        <v>59</v>
      </c>
      <c r="C23" s="59">
        <f t="shared" ref="C23:O23" si="1">C22-C21</f>
        <v>46982</v>
      </c>
      <c r="D23" s="59">
        <f t="shared" si="1"/>
        <v>38455</v>
      </c>
      <c r="E23" s="59">
        <f t="shared" si="1"/>
        <v>48220</v>
      </c>
      <c r="F23" s="59">
        <f t="shared" si="1"/>
        <v>39122</v>
      </c>
      <c r="G23" s="59">
        <f t="shared" si="1"/>
        <v>51070</v>
      </c>
      <c r="H23" s="59">
        <f t="shared" si="1"/>
        <v>44532</v>
      </c>
      <c r="I23" s="59">
        <f t="shared" si="1"/>
        <v>0</v>
      </c>
      <c r="J23" s="59">
        <f t="shared" si="1"/>
        <v>0</v>
      </c>
      <c r="K23" s="59">
        <f t="shared" si="1"/>
        <v>0</v>
      </c>
      <c r="L23" s="59">
        <f t="shared" si="1"/>
        <v>0</v>
      </c>
      <c r="M23" s="59">
        <f t="shared" si="1"/>
        <v>0</v>
      </c>
      <c r="N23" s="59">
        <f t="shared" si="1"/>
        <v>0</v>
      </c>
      <c r="O23" s="60">
        <f t="shared" si="1"/>
        <v>277859</v>
      </c>
    </row>
  </sheetData>
  <mergeCells count="2">
    <mergeCell ref="A1:O1"/>
    <mergeCell ref="A3:O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topLeftCell="A3" workbookViewId="0">
      <selection activeCell="G9" sqref="G9"/>
    </sheetView>
  </sheetViews>
  <sheetFormatPr defaultRowHeight="13.8"/>
  <cols>
    <col min="1" max="1" width="28" customWidth="1"/>
    <col min="2" max="6" width="22" customWidth="1"/>
    <col min="7" max="7" width="14" customWidth="1"/>
    <col min="8" max="8" width="48" customWidth="1"/>
  </cols>
  <sheetData>
    <row r="1" spans="1:8" ht="21">
      <c r="A1" s="76" t="s">
        <v>63</v>
      </c>
      <c r="B1" s="76"/>
      <c r="C1" s="76"/>
      <c r="D1" s="76"/>
      <c r="E1" s="76"/>
      <c r="F1" s="76"/>
      <c r="G1" s="76"/>
      <c r="H1" s="76"/>
    </row>
    <row r="3" spans="1:8" ht="27.6">
      <c r="A3" s="13" t="s">
        <v>4</v>
      </c>
      <c r="B3" s="14" t="s">
        <v>64</v>
      </c>
      <c r="C3" s="14" t="s">
        <v>65</v>
      </c>
      <c r="D3" s="14" t="s">
        <v>66</v>
      </c>
      <c r="E3" s="14" t="s">
        <v>67</v>
      </c>
      <c r="F3" s="14" t="s">
        <v>68</v>
      </c>
      <c r="G3" s="14" t="s">
        <v>69</v>
      </c>
      <c r="H3" s="15" t="s">
        <v>70</v>
      </c>
    </row>
    <row r="4" spans="1:8">
      <c r="A4" s="12" t="s">
        <v>31</v>
      </c>
      <c r="B4" s="17">
        <f>SUM('Source Energy'!C5:N5)</f>
        <v>74011</v>
      </c>
      <c r="C4" s="17">
        <f>'Source Energy'!O5</f>
        <v>74011</v>
      </c>
      <c r="D4" s="17">
        <f t="shared" ref="D4:D19" si="0">C4-B4</f>
        <v>0</v>
      </c>
      <c r="E4" s="17">
        <f>B4*Methodology!$B$6</f>
        <v>35155.224999999999</v>
      </c>
      <c r="F4" s="17">
        <f>C4*Methodology!$B$6</f>
        <v>35155.224999999999</v>
      </c>
      <c r="G4" s="1" t="str">
        <f t="shared" ref="G4:G19" si="1">IF(D4=0,"OK","REVIEW")</f>
        <v>OK</v>
      </c>
      <c r="H4" s="18" t="str">
        <f t="shared" ref="H4:H19" si="2">IF(D4=0,"","Provided row total differs from the sum of monthly values.")</f>
        <v/>
      </c>
    </row>
    <row r="5" spans="1:8">
      <c r="A5" s="12" t="s">
        <v>33</v>
      </c>
      <c r="B5" s="17">
        <f>SUM('Source Energy'!C6:N6)</f>
        <v>5605</v>
      </c>
      <c r="C5" s="17">
        <f>'Source Energy'!O6</f>
        <v>5605</v>
      </c>
      <c r="D5" s="17">
        <f t="shared" si="0"/>
        <v>0</v>
      </c>
      <c r="E5" s="17">
        <f>B5*Methodology!$B$6</f>
        <v>2662.375</v>
      </c>
      <c r="F5" s="17">
        <f>C5*Methodology!$B$6</f>
        <v>2662.375</v>
      </c>
      <c r="G5" s="1" t="str">
        <f t="shared" si="1"/>
        <v>OK</v>
      </c>
      <c r="H5" s="18" t="str">
        <f t="shared" si="2"/>
        <v/>
      </c>
    </row>
    <row r="6" spans="1:8">
      <c r="A6" s="12" t="s">
        <v>35</v>
      </c>
      <c r="B6" s="17">
        <f>SUM('Source Energy'!C7:N7)</f>
        <v>46726</v>
      </c>
      <c r="C6" s="17">
        <f>'Source Energy'!O7</f>
        <v>46726</v>
      </c>
      <c r="D6" s="17">
        <f t="shared" si="0"/>
        <v>0</v>
      </c>
      <c r="E6" s="17">
        <f>B6*Methodology!$B$6</f>
        <v>22194.85</v>
      </c>
      <c r="F6" s="17">
        <f>C6*Methodology!$B$6</f>
        <v>22194.85</v>
      </c>
      <c r="G6" s="1" t="str">
        <f t="shared" si="1"/>
        <v>OK</v>
      </c>
      <c r="H6" s="18" t="str">
        <f t="shared" si="2"/>
        <v/>
      </c>
    </row>
    <row r="7" spans="1:8">
      <c r="A7" s="12" t="s">
        <v>36</v>
      </c>
      <c r="B7" s="17">
        <f>SUM('Source Energy'!C8:N8)</f>
        <v>24286</v>
      </c>
      <c r="C7" s="17">
        <f>'Source Energy'!O8</f>
        <v>24286</v>
      </c>
      <c r="D7" s="17">
        <f t="shared" si="0"/>
        <v>0</v>
      </c>
      <c r="E7" s="17">
        <f>B7*Methodology!$B$6</f>
        <v>11535.85</v>
      </c>
      <c r="F7" s="17">
        <f>C7*Methodology!$B$6</f>
        <v>11535.85</v>
      </c>
      <c r="G7" s="1" t="str">
        <f t="shared" si="1"/>
        <v>OK</v>
      </c>
      <c r="H7" s="18" t="str">
        <f t="shared" si="2"/>
        <v/>
      </c>
    </row>
    <row r="8" spans="1:8">
      <c r="A8" s="12" t="s">
        <v>37</v>
      </c>
      <c r="B8" s="17">
        <f>SUM('Source Energy'!C9:N9)</f>
        <v>32870</v>
      </c>
      <c r="C8" s="17">
        <f>'Source Energy'!O9</f>
        <v>32870</v>
      </c>
      <c r="D8" s="17">
        <f t="shared" si="0"/>
        <v>0</v>
      </c>
      <c r="E8" s="17">
        <f>B8*Methodology!$B$6</f>
        <v>15613.25</v>
      </c>
      <c r="F8" s="17">
        <f>C8*Methodology!$B$6</f>
        <v>15613.25</v>
      </c>
      <c r="G8" s="1" t="str">
        <f t="shared" si="1"/>
        <v>OK</v>
      </c>
      <c r="H8" s="18" t="str">
        <f t="shared" si="2"/>
        <v/>
      </c>
    </row>
    <row r="9" spans="1:8">
      <c r="A9" s="12" t="s">
        <v>39</v>
      </c>
      <c r="B9" s="17">
        <f>SUM('Source Energy'!C10:N10)</f>
        <v>59564</v>
      </c>
      <c r="C9" s="17">
        <f>'Source Energy'!O10</f>
        <v>60104</v>
      </c>
      <c r="D9" s="17">
        <f t="shared" si="0"/>
        <v>540</v>
      </c>
      <c r="E9" s="17">
        <f>B9*Methodology!$B$6</f>
        <v>28292.899999999998</v>
      </c>
      <c r="F9" s="17">
        <f>C9*Methodology!$B$6</f>
        <v>28549.399999999998</v>
      </c>
      <c r="G9" s="1" t="str">
        <f t="shared" si="1"/>
        <v>REVIEW</v>
      </c>
      <c r="H9" s="18" t="str">
        <f t="shared" si="2"/>
        <v>Provided row total differs from the sum of monthly values.</v>
      </c>
    </row>
    <row r="10" spans="1:8">
      <c r="A10" s="12" t="s">
        <v>41</v>
      </c>
      <c r="B10" s="17">
        <f>SUM('Source Energy'!C11:N11)</f>
        <v>28236</v>
      </c>
      <c r="C10" s="17">
        <f>'Source Energy'!O11</f>
        <v>28236</v>
      </c>
      <c r="D10" s="17">
        <f t="shared" si="0"/>
        <v>0</v>
      </c>
      <c r="E10" s="17">
        <f>B10*Methodology!$B$6</f>
        <v>13412.099999999999</v>
      </c>
      <c r="F10" s="17">
        <f>C10*Methodology!$B$6</f>
        <v>13412.099999999999</v>
      </c>
      <c r="G10" s="1" t="str">
        <f t="shared" si="1"/>
        <v>OK</v>
      </c>
      <c r="H10" s="18" t="str">
        <f t="shared" si="2"/>
        <v/>
      </c>
    </row>
    <row r="11" spans="1:8">
      <c r="A11" s="12" t="s">
        <v>42</v>
      </c>
      <c r="B11" s="17">
        <f>SUM('Source Energy'!C12:N12)</f>
        <v>62381</v>
      </c>
      <c r="C11" s="17">
        <f>'Source Energy'!O12</f>
        <v>62381</v>
      </c>
      <c r="D11" s="17">
        <f t="shared" si="0"/>
        <v>0</v>
      </c>
      <c r="E11" s="17">
        <f>B11*Methodology!$B$6</f>
        <v>29630.974999999999</v>
      </c>
      <c r="F11" s="17">
        <f>C11*Methodology!$B$6</f>
        <v>29630.974999999999</v>
      </c>
      <c r="G11" s="1" t="str">
        <f t="shared" si="1"/>
        <v>OK</v>
      </c>
      <c r="H11" s="18" t="str">
        <f t="shared" si="2"/>
        <v/>
      </c>
    </row>
    <row r="12" spans="1:8">
      <c r="A12" s="12" t="s">
        <v>43</v>
      </c>
      <c r="B12" s="17">
        <f>SUM('Source Energy'!C13:N13)</f>
        <v>207741</v>
      </c>
      <c r="C12" s="17">
        <f>'Source Energy'!O13</f>
        <v>207741</v>
      </c>
      <c r="D12" s="17">
        <f t="shared" si="0"/>
        <v>0</v>
      </c>
      <c r="E12" s="17">
        <f>B12*Methodology!$B$6</f>
        <v>98676.974999999991</v>
      </c>
      <c r="F12" s="17">
        <f>C12*Methodology!$B$6</f>
        <v>98676.974999999991</v>
      </c>
      <c r="G12" s="1" t="str">
        <f t="shared" si="1"/>
        <v>OK</v>
      </c>
      <c r="H12" s="18" t="str">
        <f t="shared" si="2"/>
        <v/>
      </c>
    </row>
    <row r="13" spans="1:8">
      <c r="A13" s="12" t="s">
        <v>45</v>
      </c>
      <c r="B13" s="17">
        <f>SUM('Source Energy'!C14:N14)</f>
        <v>201580</v>
      </c>
      <c r="C13" s="17">
        <f>'Source Energy'!O14</f>
        <v>201580</v>
      </c>
      <c r="D13" s="17">
        <f t="shared" si="0"/>
        <v>0</v>
      </c>
      <c r="E13" s="17">
        <f>B13*Methodology!$B$6</f>
        <v>95750.5</v>
      </c>
      <c r="F13" s="17">
        <f>C13*Methodology!$B$6</f>
        <v>95750.5</v>
      </c>
      <c r="G13" s="1" t="str">
        <f t="shared" si="1"/>
        <v>OK</v>
      </c>
      <c r="H13" s="18" t="str">
        <f t="shared" si="2"/>
        <v/>
      </c>
    </row>
    <row r="14" spans="1:8">
      <c r="A14" s="12" t="s">
        <v>47</v>
      </c>
      <c r="B14" s="17">
        <f>SUM('Source Energy'!C15:N15)</f>
        <v>199947</v>
      </c>
      <c r="C14" s="17">
        <f>'Source Energy'!O15</f>
        <v>189929</v>
      </c>
      <c r="D14" s="17">
        <f t="shared" si="0"/>
        <v>-10018</v>
      </c>
      <c r="E14" s="17">
        <f>B14*Methodology!$B$6</f>
        <v>94974.824999999997</v>
      </c>
      <c r="F14" s="17">
        <f>C14*Methodology!$B$6</f>
        <v>90216.274999999994</v>
      </c>
      <c r="G14" s="1" t="str">
        <f t="shared" si="1"/>
        <v>REVIEW</v>
      </c>
      <c r="H14" s="18" t="str">
        <f t="shared" si="2"/>
        <v>Provided row total differs from the sum of monthly values.</v>
      </c>
    </row>
    <row r="15" spans="1:8">
      <c r="A15" s="12" t="s">
        <v>49</v>
      </c>
      <c r="B15" s="17">
        <f>SUM('Source Energy'!C16:N16)</f>
        <v>78702</v>
      </c>
      <c r="C15" s="17">
        <f>'Source Energy'!O16</f>
        <v>78702</v>
      </c>
      <c r="D15" s="17">
        <f t="shared" si="0"/>
        <v>0</v>
      </c>
      <c r="E15" s="17">
        <f>B15*Methodology!$B$6</f>
        <v>37383.449999999997</v>
      </c>
      <c r="F15" s="17">
        <f>C15*Methodology!$B$6</f>
        <v>37383.449999999997</v>
      </c>
      <c r="G15" s="1" t="str">
        <f t="shared" si="1"/>
        <v>OK</v>
      </c>
      <c r="H15" s="18" t="str">
        <f t="shared" si="2"/>
        <v/>
      </c>
    </row>
    <row r="16" spans="1:8">
      <c r="A16" s="12" t="s">
        <v>50</v>
      </c>
      <c r="B16" s="17">
        <f>SUM('Source Energy'!C17:N17)</f>
        <v>90123</v>
      </c>
      <c r="C16" s="17">
        <f>'Source Energy'!O17</f>
        <v>90123</v>
      </c>
      <c r="D16" s="17">
        <f t="shared" si="0"/>
        <v>0</v>
      </c>
      <c r="E16" s="17">
        <f>B16*Methodology!$B$6</f>
        <v>42808.424999999996</v>
      </c>
      <c r="F16" s="17">
        <f>C16*Methodology!$B$6</f>
        <v>42808.424999999996</v>
      </c>
      <c r="G16" s="1" t="str">
        <f t="shared" si="1"/>
        <v>OK</v>
      </c>
      <c r="H16" s="18" t="str">
        <f t="shared" si="2"/>
        <v/>
      </c>
    </row>
    <row r="17" spans="1:8">
      <c r="A17" s="12" t="s">
        <v>52</v>
      </c>
      <c r="B17" s="17">
        <f>SUM('Source Energy'!C18:N18)</f>
        <v>40742</v>
      </c>
      <c r="C17" s="17">
        <f>'Source Energy'!O18</f>
        <v>40742</v>
      </c>
      <c r="D17" s="17">
        <f t="shared" si="0"/>
        <v>0</v>
      </c>
      <c r="E17" s="17">
        <f>B17*Methodology!$B$6</f>
        <v>19352.45</v>
      </c>
      <c r="F17" s="17">
        <f>C17*Methodology!$B$6</f>
        <v>19352.45</v>
      </c>
      <c r="G17" s="1" t="str">
        <f t="shared" si="1"/>
        <v>OK</v>
      </c>
      <c r="H17" s="18" t="str">
        <f t="shared" si="2"/>
        <v/>
      </c>
    </row>
    <row r="18" spans="1:8">
      <c r="A18" s="12" t="s">
        <v>53</v>
      </c>
      <c r="B18" s="17">
        <f>SUM('Source Energy'!C19:N19)</f>
        <v>43111</v>
      </c>
      <c r="C18" s="17">
        <f>'Source Energy'!O19</f>
        <v>43111</v>
      </c>
      <c r="D18" s="17">
        <f t="shared" si="0"/>
        <v>0</v>
      </c>
      <c r="E18" s="17">
        <f>B18*Methodology!$B$6</f>
        <v>20477.724999999999</v>
      </c>
      <c r="F18" s="17">
        <f>C18*Methodology!$B$6</f>
        <v>20477.724999999999</v>
      </c>
      <c r="G18" s="1" t="str">
        <f t="shared" si="1"/>
        <v>OK</v>
      </c>
      <c r="H18" s="18" t="str">
        <f t="shared" si="2"/>
        <v/>
      </c>
    </row>
    <row r="19" spans="1:8">
      <c r="A19" s="12" t="s">
        <v>55</v>
      </c>
      <c r="B19" s="17">
        <f>SUM('Source Energy'!C20:N20)</f>
        <v>40277</v>
      </c>
      <c r="C19" s="17">
        <f>'Source Energy'!O20</f>
        <v>40277</v>
      </c>
      <c r="D19" s="17">
        <f t="shared" si="0"/>
        <v>0</v>
      </c>
      <c r="E19" s="17">
        <f>B19*Methodology!$B$6</f>
        <v>19131.575000000001</v>
      </c>
      <c r="F19" s="17">
        <f>C19*Methodology!$B$6</f>
        <v>19131.575000000001</v>
      </c>
      <c r="G19" s="1" t="str">
        <f t="shared" si="1"/>
        <v>OK</v>
      </c>
      <c r="H19" s="18" t="str">
        <f t="shared" si="2"/>
        <v/>
      </c>
    </row>
    <row r="20" spans="1:8">
      <c r="A20" s="12"/>
      <c r="B20" s="17"/>
      <c r="C20" s="17"/>
      <c r="D20" s="17"/>
      <c r="E20" s="17"/>
      <c r="F20" s="17"/>
      <c r="G20" s="1"/>
      <c r="H20" s="18"/>
    </row>
    <row r="21" spans="1:8">
      <c r="A21" s="19" t="s">
        <v>71</v>
      </c>
      <c r="B21" s="20" t="s">
        <v>72</v>
      </c>
      <c r="C21" s="20" t="s">
        <v>73</v>
      </c>
      <c r="D21" s="20" t="s">
        <v>6</v>
      </c>
      <c r="E21" s="17"/>
      <c r="F21" s="17"/>
      <c r="G21" s="1"/>
      <c r="H21" s="18"/>
    </row>
    <row r="22" spans="1:8">
      <c r="A22" s="21" t="s">
        <v>74</v>
      </c>
      <c r="B22" s="22">
        <f>'Source Energy'!O21</f>
        <v>1226424</v>
      </c>
      <c r="C22" s="22">
        <f>'Carbon Footprint'!O21</f>
        <v>587053.44999999995</v>
      </c>
      <c r="D22" s="22">
        <f>C22/1000</f>
        <v>587.05345</v>
      </c>
      <c r="E22" s="17"/>
      <c r="F22" s="17"/>
      <c r="G22" s="1"/>
      <c r="H22" s="18"/>
    </row>
    <row r="23" spans="1:8">
      <c r="A23" s="23" t="s">
        <v>75</v>
      </c>
      <c r="B23" s="24">
        <f>'Source Energy'!O22</f>
        <v>1504283</v>
      </c>
      <c r="C23" s="24">
        <f>'Carbon Footprint'!O22</f>
        <v>714534.42499999993</v>
      </c>
      <c r="D23" s="24">
        <f>C23/1000</f>
        <v>714.53442499999994</v>
      </c>
      <c r="E23" s="17"/>
      <c r="F23" s="17"/>
      <c r="G23" s="1"/>
      <c r="H23" s="18"/>
    </row>
    <row r="24" spans="1:8">
      <c r="A24" s="25" t="s">
        <v>76</v>
      </c>
      <c r="B24" s="26">
        <f>'Source Energy'!O23</f>
        <v>277859</v>
      </c>
      <c r="C24" s="26">
        <f>'Carbon Footprint'!O23</f>
        <v>127480.97499999998</v>
      </c>
      <c r="D24" s="26">
        <f>C24/1000</f>
        <v>127.48097499999997</v>
      </c>
      <c r="E24" s="27"/>
      <c r="F24" s="27"/>
      <c r="G24" s="28"/>
      <c r="H24" s="29"/>
    </row>
  </sheetData>
  <mergeCells count="1">
    <mergeCell ref="A1:H1"/>
  </mergeCells>
  <conditionalFormatting sqref="D4:D19">
    <cfRule type="expression" dxfId="1" priority="1">
      <formula>D4&lt;&gt;0</formula>
    </cfRule>
  </conditionalFormatting>
  <conditionalFormatting sqref="G4:G19">
    <cfRule type="expression" dxfId="0" priority="2">
      <formula>G4="REVIEW"</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election sqref="A1:F1"/>
    </sheetView>
  </sheetViews>
  <sheetFormatPr defaultRowHeight="13.8"/>
  <cols>
    <col min="1" max="1" width="24" customWidth="1"/>
    <col min="2" max="2" width="34" customWidth="1"/>
    <col min="3" max="3" width="18" customWidth="1"/>
    <col min="4" max="4" width="48" customWidth="1"/>
    <col min="5" max="5" width="55" customWidth="1"/>
    <col min="6" max="6" width="20" customWidth="1"/>
  </cols>
  <sheetData>
    <row r="1" spans="1:6" ht="22.35" customHeight="1">
      <c r="A1" s="77" t="s">
        <v>77</v>
      </c>
      <c r="B1" s="77"/>
      <c r="C1" s="77"/>
      <c r="D1" s="77"/>
      <c r="E1" s="77"/>
      <c r="F1" s="77"/>
    </row>
    <row r="3" spans="1:6">
      <c r="A3" s="3" t="s">
        <v>78</v>
      </c>
      <c r="B3" s="4" t="s">
        <v>79</v>
      </c>
      <c r="C3" s="4" t="s">
        <v>80</v>
      </c>
      <c r="D3" s="4" t="s">
        <v>81</v>
      </c>
      <c r="E3" s="4" t="s">
        <v>82</v>
      </c>
      <c r="F3" s="5" t="s">
        <v>83</v>
      </c>
    </row>
    <row r="4" spans="1:6">
      <c r="A4" s="6" t="s">
        <v>84</v>
      </c>
      <c r="B4" s="1" t="s">
        <v>85</v>
      </c>
      <c r="C4" s="1"/>
      <c r="D4" s="1" t="s">
        <v>86</v>
      </c>
      <c r="E4" s="1" t="s">
        <v>87</v>
      </c>
      <c r="F4" s="7" t="s">
        <v>88</v>
      </c>
    </row>
    <row r="5" spans="1:6">
      <c r="A5" s="6" t="s">
        <v>89</v>
      </c>
      <c r="B5" s="1" t="s">
        <v>90</v>
      </c>
      <c r="C5" s="1"/>
      <c r="D5" s="1" t="s">
        <v>91</v>
      </c>
      <c r="E5" s="1" t="s">
        <v>92</v>
      </c>
      <c r="F5" s="7" t="s">
        <v>93</v>
      </c>
    </row>
    <row r="6" spans="1:6" ht="27.6">
      <c r="A6" s="6" t="s">
        <v>94</v>
      </c>
      <c r="B6" s="2">
        <v>0.47499999999999998</v>
      </c>
      <c r="C6" s="1" t="s">
        <v>95</v>
      </c>
      <c r="D6" s="1" t="s">
        <v>96</v>
      </c>
      <c r="E6" s="1" t="s">
        <v>97</v>
      </c>
      <c r="F6" s="7" t="s">
        <v>98</v>
      </c>
    </row>
    <row r="7" spans="1:6">
      <c r="A7" s="6" t="s">
        <v>99</v>
      </c>
      <c r="B7" s="1" t="s">
        <v>100</v>
      </c>
      <c r="C7" s="1" t="s">
        <v>101</v>
      </c>
      <c r="D7" s="1" t="s">
        <v>102</v>
      </c>
      <c r="E7" s="1"/>
      <c r="F7" s="7" t="s">
        <v>103</v>
      </c>
    </row>
    <row r="8" spans="1:6">
      <c r="A8" s="6" t="s">
        <v>104</v>
      </c>
      <c r="B8" s="1" t="s">
        <v>105</v>
      </c>
      <c r="C8" s="1"/>
      <c r="D8" s="1"/>
      <c r="E8" s="1"/>
      <c r="F8" s="7" t="s">
        <v>106</v>
      </c>
    </row>
    <row r="9" spans="1:6" ht="27.6">
      <c r="A9" s="6" t="s">
        <v>107</v>
      </c>
      <c r="B9" s="1" t="s">
        <v>108</v>
      </c>
      <c r="C9" s="1"/>
      <c r="D9" s="1" t="s">
        <v>109</v>
      </c>
      <c r="E9" s="1" t="s">
        <v>110</v>
      </c>
      <c r="F9" s="7" t="s">
        <v>111</v>
      </c>
    </row>
    <row r="10" spans="1:6" ht="27.6">
      <c r="A10" s="6" t="s">
        <v>112</v>
      </c>
      <c r="B10" s="1" t="s">
        <v>113</v>
      </c>
      <c r="C10" s="1"/>
      <c r="D10" s="1" t="s">
        <v>114</v>
      </c>
      <c r="E10" s="1"/>
      <c r="F10" s="7" t="s">
        <v>115</v>
      </c>
    </row>
    <row r="11" spans="1:6">
      <c r="A11" s="8" t="s">
        <v>116</v>
      </c>
      <c r="B11" s="9" t="s">
        <v>117</v>
      </c>
      <c r="C11" s="9"/>
      <c r="D11" s="9" t="s">
        <v>118</v>
      </c>
      <c r="E11" s="9"/>
      <c r="F11" s="10" t="s">
        <v>119</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Carbon Footprint</vt:lpstr>
      <vt:lpstr>Source Energy</vt:lpstr>
      <vt:lpstr>Reconciliation</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Zahid Sajjad</cp:lastModifiedBy>
  <dcterms:modified xsi:type="dcterms:W3CDTF">2026-07-21T13:00:00Z</dcterms:modified>
</cp:coreProperties>
</file>
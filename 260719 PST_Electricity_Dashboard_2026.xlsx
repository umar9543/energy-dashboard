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F3E2B7E-2868-4312-9CC5-BB8840511CE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shboard" sheetId="1" r:id="rId1"/>
    <sheet name="Source Data" sheetId="2" r:id="rId2"/>
    <sheet name="Machine Analysis" sheetId="4" r:id="rId3"/>
    <sheet name="Facility Analysis" sheetId="5" r:id="rId4"/>
    <sheet name="Process-wise Monthly" sheetId="3" r:id="rId5"/>
  </sheets>
  <externalReferences>
    <externalReference r:id="rId6"/>
    <externalReference r:id="rId7"/>
  </externalReferences>
  <definedNames>
    <definedName name="_xlnm._FilterDatabase" localSheetId="1" hidden="1">'Source Data'!$A$5:$O$38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5" l="1"/>
  <c r="H33" i="5"/>
  <c r="G33" i="5"/>
  <c r="F33" i="5"/>
  <c r="E33" i="5"/>
  <c r="D33" i="5"/>
  <c r="J33" i="5" s="1"/>
  <c r="C33" i="5"/>
  <c r="I32" i="5"/>
  <c r="H32" i="5"/>
  <c r="G32" i="5"/>
  <c r="F32" i="5"/>
  <c r="E32" i="5"/>
  <c r="D32" i="5"/>
  <c r="C32" i="5"/>
  <c r="I31" i="5"/>
  <c r="B62" i="5" s="1"/>
  <c r="H31" i="5"/>
  <c r="G31" i="5"/>
  <c r="F31" i="5"/>
  <c r="E31" i="5"/>
  <c r="D31" i="5"/>
  <c r="C31" i="5"/>
  <c r="I30" i="5"/>
  <c r="H30" i="5"/>
  <c r="G30" i="5"/>
  <c r="F30" i="5"/>
  <c r="E30" i="5"/>
  <c r="D30" i="5"/>
  <c r="C30" i="5"/>
  <c r="I29" i="5"/>
  <c r="H29" i="5"/>
  <c r="G29" i="5"/>
  <c r="F29" i="5"/>
  <c r="E29" i="5"/>
  <c r="D29" i="5"/>
  <c r="C29" i="5"/>
  <c r="I28" i="5"/>
  <c r="H28" i="5"/>
  <c r="G28" i="5"/>
  <c r="F28" i="5"/>
  <c r="E28" i="5"/>
  <c r="D28" i="5"/>
  <c r="C59" i="5" s="1"/>
  <c r="C28" i="5"/>
  <c r="I27" i="5"/>
  <c r="H27" i="5"/>
  <c r="G27" i="5"/>
  <c r="F27" i="5"/>
  <c r="E27" i="5"/>
  <c r="D27" i="5"/>
  <c r="C27" i="5"/>
  <c r="I26" i="5"/>
  <c r="C57" i="5" s="1"/>
  <c r="H26" i="5"/>
  <c r="G26" i="5"/>
  <c r="F26" i="5"/>
  <c r="E26" i="5"/>
  <c r="D26" i="5"/>
  <c r="C26" i="5"/>
  <c r="I25" i="5"/>
  <c r="H25" i="5"/>
  <c r="G25" i="5"/>
  <c r="F25" i="5"/>
  <c r="E25" i="5"/>
  <c r="D25" i="5"/>
  <c r="C25" i="5"/>
  <c r="I24" i="5"/>
  <c r="B55" i="5" s="1"/>
  <c r="H24" i="5"/>
  <c r="G24" i="5"/>
  <c r="F24" i="5"/>
  <c r="E24" i="5"/>
  <c r="D24" i="5"/>
  <c r="C24" i="5"/>
  <c r="I23" i="5"/>
  <c r="H23" i="5"/>
  <c r="G23" i="5"/>
  <c r="F23" i="5"/>
  <c r="E23" i="5"/>
  <c r="D23" i="5"/>
  <c r="C23" i="5"/>
  <c r="I22" i="5"/>
  <c r="H22" i="5"/>
  <c r="G22" i="5"/>
  <c r="F22" i="5"/>
  <c r="E22" i="5"/>
  <c r="D22" i="5"/>
  <c r="C22" i="5"/>
  <c r="I21" i="5"/>
  <c r="H21" i="5"/>
  <c r="G21" i="5"/>
  <c r="F21" i="5"/>
  <c r="E21" i="5"/>
  <c r="D21" i="5"/>
  <c r="C21" i="5"/>
  <c r="I20" i="5"/>
  <c r="G51" i="5" s="1"/>
  <c r="H20" i="5"/>
  <c r="G20" i="5"/>
  <c r="F20" i="5"/>
  <c r="E20" i="5"/>
  <c r="D20" i="5"/>
  <c r="C20" i="5"/>
  <c r="I19" i="5"/>
  <c r="C50" i="5" s="1"/>
  <c r="H19" i="5"/>
  <c r="G19" i="5"/>
  <c r="F19" i="5"/>
  <c r="E19" i="5"/>
  <c r="D19" i="5"/>
  <c r="C19" i="5"/>
  <c r="I18" i="5"/>
  <c r="H18" i="5"/>
  <c r="G18" i="5"/>
  <c r="F18" i="5"/>
  <c r="E18" i="5"/>
  <c r="D18" i="5"/>
  <c r="C18" i="5"/>
  <c r="I17" i="5"/>
  <c r="H17" i="5"/>
  <c r="G17" i="5"/>
  <c r="F17" i="5"/>
  <c r="E17" i="5"/>
  <c r="D17" i="5"/>
  <c r="C17" i="5"/>
  <c r="I16" i="5"/>
  <c r="H16" i="5"/>
  <c r="G16" i="5"/>
  <c r="F16" i="5"/>
  <c r="E16" i="5"/>
  <c r="D16" i="5"/>
  <c r="C16" i="5"/>
  <c r="I15" i="5"/>
  <c r="H15" i="5"/>
  <c r="G15" i="5"/>
  <c r="F15" i="5"/>
  <c r="E15" i="5"/>
  <c r="D15" i="5"/>
  <c r="C15" i="5"/>
  <c r="I14" i="5"/>
  <c r="C45" i="5" s="1"/>
  <c r="H14" i="5"/>
  <c r="G14" i="5"/>
  <c r="F14" i="5"/>
  <c r="E14" i="5"/>
  <c r="D14" i="5"/>
  <c r="C14" i="5"/>
  <c r="I13" i="5"/>
  <c r="H13" i="5"/>
  <c r="G13" i="5"/>
  <c r="F13" i="5"/>
  <c r="E13" i="5"/>
  <c r="D13" i="5"/>
  <c r="C13" i="5"/>
  <c r="I12" i="5"/>
  <c r="G43" i="5" s="1"/>
  <c r="H12" i="5"/>
  <c r="G12" i="5"/>
  <c r="F12" i="5"/>
  <c r="E12" i="5"/>
  <c r="D12" i="5"/>
  <c r="C12" i="5"/>
  <c r="K12" i="5" s="1"/>
  <c r="I11" i="5"/>
  <c r="H11" i="5"/>
  <c r="G11" i="5"/>
  <c r="F11" i="5"/>
  <c r="E11" i="5"/>
  <c r="D11" i="5"/>
  <c r="C11" i="5"/>
  <c r="I10" i="5"/>
  <c r="H10" i="5"/>
  <c r="G41" i="5" s="1"/>
  <c r="G10" i="5"/>
  <c r="F41" i="5" s="1"/>
  <c r="F10" i="5"/>
  <c r="E41" i="5" s="1"/>
  <c r="E10" i="5"/>
  <c r="D10" i="5"/>
  <c r="C10" i="5"/>
  <c r="I9" i="5"/>
  <c r="B40" i="5" s="1"/>
  <c r="H9" i="5"/>
  <c r="G9" i="5"/>
  <c r="F9" i="5"/>
  <c r="E9" i="5"/>
  <c r="D9" i="5"/>
  <c r="C9" i="5"/>
  <c r="I8" i="5"/>
  <c r="H8" i="5"/>
  <c r="G8" i="5"/>
  <c r="F8" i="5"/>
  <c r="E8" i="5"/>
  <c r="D8" i="5"/>
  <c r="C8" i="5"/>
  <c r="I7" i="5"/>
  <c r="H7" i="5"/>
  <c r="G7" i="5"/>
  <c r="F7" i="5"/>
  <c r="E7" i="5"/>
  <c r="D7" i="5"/>
  <c r="C7" i="5"/>
  <c r="G39" i="5" l="1"/>
  <c r="G48" i="5"/>
  <c r="E62" i="5"/>
  <c r="C62" i="5"/>
  <c r="F48" i="5"/>
  <c r="C60" i="5"/>
  <c r="J11" i="5"/>
  <c r="E47" i="5"/>
  <c r="K27" i="5"/>
  <c r="G59" i="5"/>
  <c r="G56" i="5"/>
  <c r="D43" i="5"/>
  <c r="E43" i="5"/>
  <c r="E58" i="5"/>
  <c r="B38" i="5"/>
  <c r="K28" i="5"/>
  <c r="C43" i="5"/>
  <c r="C38" i="5"/>
  <c r="C55" i="5"/>
  <c r="D38" i="5"/>
  <c r="E38" i="5"/>
  <c r="E50" i="5"/>
  <c r="K21" i="5"/>
  <c r="D53" i="5"/>
  <c r="F63" i="5"/>
  <c r="B50" i="5"/>
  <c r="K16" i="5"/>
  <c r="C48" i="5"/>
  <c r="K23" i="5"/>
  <c r="J28" i="5"/>
  <c r="K33" i="5"/>
  <c r="J25" i="5"/>
  <c r="B57" i="5"/>
  <c r="D57" i="5"/>
  <c r="D49" i="5"/>
  <c r="K15" i="5"/>
  <c r="G47" i="5"/>
  <c r="E49" i="5"/>
  <c r="B52" i="5"/>
  <c r="J27" i="5"/>
  <c r="K22" i="5"/>
  <c r="G60" i="5"/>
  <c r="K29" i="5"/>
  <c r="D55" i="5"/>
  <c r="J13" i="5"/>
  <c r="B47" i="5"/>
  <c r="J8" i="5"/>
  <c r="K13" i="5"/>
  <c r="E55" i="5"/>
  <c r="G61" i="5"/>
  <c r="K32" i="5"/>
  <c r="D48" i="5"/>
  <c r="F55" i="5"/>
  <c r="C47" i="5"/>
  <c r="J10" i="5"/>
  <c r="F47" i="5"/>
  <c r="F50" i="5"/>
  <c r="E48" i="5"/>
  <c r="G55" i="5"/>
  <c r="G63" i="5"/>
  <c r="K26" i="5"/>
  <c r="J21" i="5"/>
  <c r="J17" i="5"/>
  <c r="K30" i="5"/>
  <c r="K31" i="5"/>
  <c r="G44" i="5"/>
  <c r="B59" i="5"/>
  <c r="G49" i="5"/>
  <c r="K20" i="5"/>
  <c r="K25" i="5"/>
  <c r="G34" i="5"/>
  <c r="K11" i="5"/>
  <c r="J15" i="5"/>
  <c r="J19" i="5"/>
  <c r="F59" i="5"/>
  <c r="D62" i="5"/>
  <c r="F43" i="5"/>
  <c r="E53" i="5"/>
  <c r="D60" i="5"/>
  <c r="K7" i="5"/>
  <c r="D41" i="5"/>
  <c r="H34" i="5"/>
  <c r="K9" i="5"/>
  <c r="F51" i="5"/>
  <c r="F53" i="5"/>
  <c r="E60" i="5"/>
  <c r="F39" i="5"/>
  <c r="E46" i="5"/>
  <c r="J22" i="5"/>
  <c r="I34" i="5"/>
  <c r="B43" i="5"/>
  <c r="K14" i="5"/>
  <c r="J16" i="5"/>
  <c r="D50" i="5"/>
  <c r="E59" i="5"/>
  <c r="E61" i="5"/>
  <c r="B64" i="5"/>
  <c r="B45" i="5"/>
  <c r="G53" i="5"/>
  <c r="F60" i="5"/>
  <c r="K10" i="5"/>
  <c r="F46" i="5"/>
  <c r="F58" i="5"/>
  <c r="J9" i="5"/>
  <c r="J7" i="5"/>
  <c r="J31" i="5"/>
  <c r="D34" i="5"/>
  <c r="G38" i="5"/>
  <c r="E40" i="5"/>
  <c r="C42" i="5"/>
  <c r="F45" i="5"/>
  <c r="D47" i="5"/>
  <c r="B49" i="5"/>
  <c r="G50" i="5"/>
  <c r="E52" i="5"/>
  <c r="C54" i="5"/>
  <c r="F57" i="5"/>
  <c r="D59" i="5"/>
  <c r="B61" i="5"/>
  <c r="G62" i="5"/>
  <c r="E64" i="5"/>
  <c r="G58" i="5"/>
  <c r="K8" i="5"/>
  <c r="K19" i="5"/>
  <c r="E34" i="5"/>
  <c r="F40" i="5"/>
  <c r="D42" i="5"/>
  <c r="B44" i="5"/>
  <c r="G45" i="5"/>
  <c r="C49" i="5"/>
  <c r="F52" i="5"/>
  <c r="D54" i="5"/>
  <c r="B56" i="5"/>
  <c r="G57" i="5"/>
  <c r="C61" i="5"/>
  <c r="F64" i="5"/>
  <c r="G46" i="5"/>
  <c r="J14" i="5"/>
  <c r="J20" i="5"/>
  <c r="J26" i="5"/>
  <c r="C40" i="5"/>
  <c r="C34" i="5"/>
  <c r="D40" i="5"/>
  <c r="E45" i="5"/>
  <c r="J12" i="5"/>
  <c r="J18" i="5"/>
  <c r="J24" i="5"/>
  <c r="J30" i="5"/>
  <c r="F34" i="5"/>
  <c r="B39" i="5"/>
  <c r="G40" i="5"/>
  <c r="E42" i="5"/>
  <c r="C44" i="5"/>
  <c r="B51" i="5"/>
  <c r="G52" i="5"/>
  <c r="E54" i="5"/>
  <c r="C56" i="5"/>
  <c r="D61" i="5"/>
  <c r="B63" i="5"/>
  <c r="G64" i="5"/>
  <c r="J32" i="5"/>
  <c r="D45" i="5"/>
  <c r="C52" i="5"/>
  <c r="C64" i="5"/>
  <c r="F38" i="5"/>
  <c r="B42" i="5"/>
  <c r="D52" i="5"/>
  <c r="B54" i="5"/>
  <c r="E57" i="5"/>
  <c r="F62" i="5"/>
  <c r="D64" i="5"/>
  <c r="K18" i="5"/>
  <c r="K24" i="5"/>
  <c r="C39" i="5"/>
  <c r="F42" i="5"/>
  <c r="D44" i="5"/>
  <c r="B46" i="5"/>
  <c r="C51" i="5"/>
  <c r="F54" i="5"/>
  <c r="D56" i="5"/>
  <c r="B58" i="5"/>
  <c r="C63" i="5"/>
  <c r="J29" i="5"/>
  <c r="D39" i="5"/>
  <c r="B41" i="5"/>
  <c r="G42" i="5"/>
  <c r="E44" i="5"/>
  <c r="C46" i="5"/>
  <c r="F49" i="5"/>
  <c r="D51" i="5"/>
  <c r="B53" i="5"/>
  <c r="G54" i="5"/>
  <c r="E56" i="5"/>
  <c r="C58" i="5"/>
  <c r="F61" i="5"/>
  <c r="D63" i="5"/>
  <c r="J23" i="5"/>
  <c r="K17" i="5"/>
  <c r="E39" i="5"/>
  <c r="C41" i="5"/>
  <c r="F44" i="5"/>
  <c r="D46" i="5"/>
  <c r="B48" i="5"/>
  <c r="E51" i="5"/>
  <c r="C53" i="5"/>
  <c r="F56" i="5"/>
  <c r="D58" i="5"/>
  <c r="B60" i="5"/>
  <c r="E63" i="5"/>
  <c r="H62" i="5" l="1"/>
  <c r="H38" i="5"/>
  <c r="H50" i="5"/>
  <c r="H49" i="5"/>
  <c r="H41" i="5"/>
  <c r="H55" i="5"/>
  <c r="H57" i="5"/>
  <c r="H48" i="5"/>
  <c r="H61" i="5"/>
  <c r="H43" i="5"/>
  <c r="H45" i="5"/>
  <c r="H59" i="5"/>
  <c r="H47" i="5"/>
  <c r="H40" i="5"/>
  <c r="H60" i="5"/>
  <c r="H64" i="5"/>
  <c r="H52" i="5"/>
  <c r="H56" i="5"/>
  <c r="H39" i="5"/>
  <c r="H58" i="5"/>
  <c r="H51" i="5"/>
  <c r="H63" i="5"/>
  <c r="H54" i="5"/>
  <c r="H42" i="5"/>
  <c r="H44" i="5"/>
  <c r="H53" i="5"/>
  <c r="H46" i="5"/>
  <c r="I38" i="4"/>
  <c r="H38" i="4"/>
  <c r="G38" i="4"/>
  <c r="F38" i="4"/>
  <c r="E38" i="4"/>
  <c r="D38" i="4"/>
  <c r="C38" i="4"/>
  <c r="I37" i="4"/>
  <c r="H37" i="4"/>
  <c r="G37" i="4"/>
  <c r="F37" i="4"/>
  <c r="E37" i="4"/>
  <c r="D37" i="4"/>
  <c r="C37" i="4"/>
  <c r="I36" i="4"/>
  <c r="H36" i="4"/>
  <c r="G36" i="4"/>
  <c r="F36" i="4"/>
  <c r="E36" i="4"/>
  <c r="D36" i="4"/>
  <c r="C36" i="4"/>
  <c r="I35" i="4"/>
  <c r="H35" i="4"/>
  <c r="G35" i="4"/>
  <c r="F35" i="4"/>
  <c r="E35" i="4"/>
  <c r="D35" i="4"/>
  <c r="C35" i="4"/>
  <c r="I34" i="4"/>
  <c r="H34" i="4"/>
  <c r="G34" i="4"/>
  <c r="F34" i="4"/>
  <c r="E34" i="4"/>
  <c r="D70" i="4" s="1"/>
  <c r="D34" i="4"/>
  <c r="C34" i="4"/>
  <c r="I33" i="4"/>
  <c r="H33" i="4"/>
  <c r="G33" i="4"/>
  <c r="F33" i="4"/>
  <c r="E33" i="4"/>
  <c r="D33" i="4"/>
  <c r="C33" i="4"/>
  <c r="I32" i="4"/>
  <c r="H32" i="4"/>
  <c r="G32" i="4"/>
  <c r="F32" i="4"/>
  <c r="E32" i="4"/>
  <c r="D32" i="4"/>
  <c r="C32" i="4"/>
  <c r="I31" i="4"/>
  <c r="H31" i="4"/>
  <c r="G31" i="4"/>
  <c r="F31" i="4"/>
  <c r="E31" i="4"/>
  <c r="D31" i="4"/>
  <c r="C31" i="4"/>
  <c r="I30" i="4"/>
  <c r="H30" i="4"/>
  <c r="G30" i="4"/>
  <c r="F30" i="4"/>
  <c r="E30" i="4"/>
  <c r="D30" i="4"/>
  <c r="C30" i="4"/>
  <c r="I29" i="4"/>
  <c r="H29" i="4"/>
  <c r="G29" i="4"/>
  <c r="F29" i="4"/>
  <c r="E29" i="4"/>
  <c r="D29" i="4"/>
  <c r="C29" i="4"/>
  <c r="I28" i="4"/>
  <c r="H28" i="4"/>
  <c r="G28" i="4"/>
  <c r="F28" i="4"/>
  <c r="E28" i="4"/>
  <c r="D28" i="4"/>
  <c r="C28" i="4"/>
  <c r="I27" i="4"/>
  <c r="H27" i="4"/>
  <c r="G27" i="4"/>
  <c r="F27" i="4"/>
  <c r="E27" i="4"/>
  <c r="D27" i="4"/>
  <c r="C27" i="4"/>
  <c r="I26" i="4"/>
  <c r="H26" i="4"/>
  <c r="G26" i="4"/>
  <c r="F26" i="4"/>
  <c r="E26" i="4"/>
  <c r="D26" i="4"/>
  <c r="C26" i="4"/>
  <c r="I25" i="4"/>
  <c r="H25" i="4"/>
  <c r="G25" i="4"/>
  <c r="F25" i="4"/>
  <c r="E25" i="4"/>
  <c r="D25" i="4"/>
  <c r="C25" i="4"/>
  <c r="I24" i="4"/>
  <c r="H24" i="4"/>
  <c r="G24" i="4"/>
  <c r="F24" i="4"/>
  <c r="E24" i="4"/>
  <c r="D24" i="4"/>
  <c r="C24" i="4"/>
  <c r="I23" i="4"/>
  <c r="H23" i="4"/>
  <c r="G23" i="4"/>
  <c r="F23" i="4"/>
  <c r="E23" i="4"/>
  <c r="D23" i="4"/>
  <c r="C23" i="4"/>
  <c r="I22" i="4"/>
  <c r="H22" i="4"/>
  <c r="G22" i="4"/>
  <c r="F22" i="4"/>
  <c r="E22" i="4"/>
  <c r="D22" i="4"/>
  <c r="C22" i="4"/>
  <c r="I21" i="4"/>
  <c r="H21" i="4"/>
  <c r="G21" i="4"/>
  <c r="F21" i="4"/>
  <c r="E21" i="4"/>
  <c r="D21" i="4"/>
  <c r="C21" i="4"/>
  <c r="I20" i="4"/>
  <c r="H20" i="4"/>
  <c r="G20" i="4"/>
  <c r="F20" i="4"/>
  <c r="E20" i="4"/>
  <c r="D20" i="4"/>
  <c r="C20" i="4"/>
  <c r="I19" i="4"/>
  <c r="H19" i="4"/>
  <c r="G19" i="4"/>
  <c r="F19" i="4"/>
  <c r="E19" i="4"/>
  <c r="D19" i="4"/>
  <c r="C19" i="4"/>
  <c r="I18" i="4"/>
  <c r="H18" i="4"/>
  <c r="G18" i="4"/>
  <c r="F18" i="4"/>
  <c r="E18" i="4"/>
  <c r="D18" i="4"/>
  <c r="C18" i="4"/>
  <c r="I17" i="4"/>
  <c r="H17" i="4"/>
  <c r="G17" i="4"/>
  <c r="F17" i="4"/>
  <c r="E17" i="4"/>
  <c r="D17" i="4"/>
  <c r="C17" i="4"/>
  <c r="I16" i="4"/>
  <c r="H16" i="4"/>
  <c r="G16" i="4"/>
  <c r="F16" i="4"/>
  <c r="E16" i="4"/>
  <c r="D16" i="4"/>
  <c r="C16" i="4"/>
  <c r="I15" i="4"/>
  <c r="H15" i="4"/>
  <c r="G15" i="4"/>
  <c r="F15" i="4"/>
  <c r="E15" i="4"/>
  <c r="D15" i="4"/>
  <c r="C15" i="4"/>
  <c r="I14" i="4"/>
  <c r="H14" i="4"/>
  <c r="G14" i="4"/>
  <c r="F14" i="4"/>
  <c r="E14" i="4"/>
  <c r="D14" i="4"/>
  <c r="C14" i="4"/>
  <c r="I13" i="4"/>
  <c r="H13" i="4"/>
  <c r="G13" i="4"/>
  <c r="F13" i="4"/>
  <c r="E13" i="4"/>
  <c r="D13" i="4"/>
  <c r="C13" i="4"/>
  <c r="I12" i="4"/>
  <c r="H12" i="4"/>
  <c r="G12" i="4"/>
  <c r="F12" i="4"/>
  <c r="E12" i="4"/>
  <c r="D12" i="4"/>
  <c r="C12" i="4"/>
  <c r="I11" i="4"/>
  <c r="H11" i="4"/>
  <c r="G11" i="4"/>
  <c r="F11" i="4"/>
  <c r="E11" i="4"/>
  <c r="D11" i="4"/>
  <c r="C11" i="4"/>
  <c r="I10" i="4"/>
  <c r="H10" i="4"/>
  <c r="G10" i="4"/>
  <c r="F46" i="4" s="1"/>
  <c r="F10" i="4"/>
  <c r="E10" i="4"/>
  <c r="D10" i="4"/>
  <c r="C10" i="4"/>
  <c r="I9" i="4"/>
  <c r="G45" i="4" s="1"/>
  <c r="H9" i="4"/>
  <c r="G9" i="4"/>
  <c r="F9" i="4"/>
  <c r="E9" i="4"/>
  <c r="D9" i="4"/>
  <c r="C9" i="4"/>
  <c r="I8" i="4"/>
  <c r="H8" i="4"/>
  <c r="G8" i="4"/>
  <c r="F8" i="4"/>
  <c r="E8" i="4"/>
  <c r="D8" i="4"/>
  <c r="C8" i="4"/>
  <c r="I7" i="4"/>
  <c r="H7" i="4"/>
  <c r="G7" i="4"/>
  <c r="F7" i="4"/>
  <c r="E7" i="4"/>
  <c r="D7" i="4"/>
  <c r="C7" i="4"/>
  <c r="C6" i="3"/>
  <c r="N27" i="3"/>
  <c r="M27" i="3"/>
  <c r="L27" i="3"/>
  <c r="K27" i="3"/>
  <c r="J27" i="3"/>
  <c r="I27" i="3"/>
  <c r="H27" i="3"/>
  <c r="G27" i="3"/>
  <c r="F27" i="3"/>
  <c r="E27" i="3"/>
  <c r="D27" i="3"/>
  <c r="C27" i="3"/>
  <c r="N26" i="3"/>
  <c r="M26" i="3"/>
  <c r="L26" i="3"/>
  <c r="K26" i="3"/>
  <c r="J26" i="3"/>
  <c r="I26" i="3"/>
  <c r="H26" i="3"/>
  <c r="G26" i="3"/>
  <c r="F26" i="3"/>
  <c r="E26" i="3"/>
  <c r="D26" i="3"/>
  <c r="C26" i="3"/>
  <c r="N25" i="3"/>
  <c r="M25" i="3"/>
  <c r="L25" i="3"/>
  <c r="K25" i="3"/>
  <c r="J25" i="3"/>
  <c r="I25" i="3"/>
  <c r="H25" i="3"/>
  <c r="G25" i="3"/>
  <c r="F25" i="3"/>
  <c r="E25" i="3"/>
  <c r="D25" i="3"/>
  <c r="C25" i="3"/>
  <c r="N24" i="3"/>
  <c r="M24" i="3"/>
  <c r="L24" i="3"/>
  <c r="K24" i="3"/>
  <c r="J24" i="3"/>
  <c r="I24" i="3"/>
  <c r="H24" i="3"/>
  <c r="G24" i="3"/>
  <c r="F24" i="3"/>
  <c r="E24" i="3"/>
  <c r="D24" i="3"/>
  <c r="C24" i="3"/>
  <c r="N23" i="3"/>
  <c r="M23" i="3"/>
  <c r="L23" i="3"/>
  <c r="K23" i="3"/>
  <c r="J23" i="3"/>
  <c r="I23" i="3"/>
  <c r="H23" i="3"/>
  <c r="G23" i="3"/>
  <c r="F23" i="3"/>
  <c r="E23" i="3"/>
  <c r="D23" i="3"/>
  <c r="C23" i="3"/>
  <c r="N22" i="3"/>
  <c r="M22" i="3"/>
  <c r="L22" i="3"/>
  <c r="K22" i="3"/>
  <c r="J22" i="3"/>
  <c r="I22" i="3"/>
  <c r="H22" i="3"/>
  <c r="G22" i="3"/>
  <c r="F22" i="3"/>
  <c r="E22" i="3"/>
  <c r="D22" i="3"/>
  <c r="C22" i="3"/>
  <c r="N21" i="3"/>
  <c r="M21" i="3"/>
  <c r="L21" i="3"/>
  <c r="K21" i="3"/>
  <c r="J21" i="3"/>
  <c r="I21" i="3"/>
  <c r="H21" i="3"/>
  <c r="G21" i="3"/>
  <c r="F21" i="3"/>
  <c r="E21" i="3"/>
  <c r="D21" i="3"/>
  <c r="C21" i="3"/>
  <c r="N20" i="3"/>
  <c r="M20" i="3"/>
  <c r="L20" i="3"/>
  <c r="K20" i="3"/>
  <c r="J20" i="3"/>
  <c r="I20" i="3"/>
  <c r="H20" i="3"/>
  <c r="G20" i="3"/>
  <c r="F20" i="3"/>
  <c r="E20" i="3"/>
  <c r="D20" i="3"/>
  <c r="C20" i="3"/>
  <c r="N19" i="3"/>
  <c r="M19" i="3"/>
  <c r="L19" i="3"/>
  <c r="K19" i="3"/>
  <c r="J19" i="3"/>
  <c r="I19" i="3"/>
  <c r="H19" i="3"/>
  <c r="G19" i="3"/>
  <c r="F19" i="3"/>
  <c r="E19" i="3"/>
  <c r="D19" i="3"/>
  <c r="C19" i="3"/>
  <c r="N18" i="3"/>
  <c r="M18" i="3"/>
  <c r="L18" i="3"/>
  <c r="K18" i="3"/>
  <c r="J18" i="3"/>
  <c r="I18" i="3"/>
  <c r="H18" i="3"/>
  <c r="G18" i="3"/>
  <c r="F18" i="3"/>
  <c r="E18" i="3"/>
  <c r="D18" i="3"/>
  <c r="C18" i="3"/>
  <c r="N17" i="3"/>
  <c r="M17" i="3"/>
  <c r="L17" i="3"/>
  <c r="K17" i="3"/>
  <c r="J17" i="3"/>
  <c r="I17" i="3"/>
  <c r="H17" i="3"/>
  <c r="G17" i="3"/>
  <c r="F17" i="3"/>
  <c r="E17" i="3"/>
  <c r="D17" i="3"/>
  <c r="C17" i="3"/>
  <c r="N16" i="3"/>
  <c r="M16" i="3"/>
  <c r="L16" i="3"/>
  <c r="K16" i="3"/>
  <c r="J16" i="3"/>
  <c r="I16" i="3"/>
  <c r="H16" i="3"/>
  <c r="G16" i="3"/>
  <c r="F16" i="3"/>
  <c r="E16" i="3"/>
  <c r="D16" i="3"/>
  <c r="C16" i="3"/>
  <c r="N15" i="3"/>
  <c r="M15" i="3"/>
  <c r="L15" i="3"/>
  <c r="K15" i="3"/>
  <c r="J15" i="3"/>
  <c r="I15" i="3"/>
  <c r="H15" i="3"/>
  <c r="G15" i="3"/>
  <c r="F15" i="3"/>
  <c r="E15" i="3"/>
  <c r="D15" i="3"/>
  <c r="C15" i="3"/>
  <c r="N14" i="3"/>
  <c r="M14" i="3"/>
  <c r="L14" i="3"/>
  <c r="K14" i="3"/>
  <c r="J14" i="3"/>
  <c r="I14" i="3"/>
  <c r="H14" i="3"/>
  <c r="G14" i="3"/>
  <c r="F14" i="3"/>
  <c r="E14" i="3"/>
  <c r="D14" i="3"/>
  <c r="C14" i="3"/>
  <c r="N13" i="3"/>
  <c r="M13" i="3"/>
  <c r="L13" i="3"/>
  <c r="K13" i="3"/>
  <c r="J13" i="3"/>
  <c r="I13" i="3"/>
  <c r="H13" i="3"/>
  <c r="G13" i="3"/>
  <c r="F13" i="3"/>
  <c r="E13" i="3"/>
  <c r="D13" i="3"/>
  <c r="C13" i="3"/>
  <c r="N12" i="3"/>
  <c r="M12" i="3"/>
  <c r="L12" i="3"/>
  <c r="K12" i="3"/>
  <c r="J12" i="3"/>
  <c r="I12" i="3"/>
  <c r="H12" i="3"/>
  <c r="G12" i="3"/>
  <c r="F12" i="3"/>
  <c r="E12" i="3"/>
  <c r="D12" i="3"/>
  <c r="C12" i="3"/>
  <c r="N11" i="3"/>
  <c r="M11" i="3"/>
  <c r="L11" i="3"/>
  <c r="K11" i="3"/>
  <c r="J11" i="3"/>
  <c r="I11" i="3"/>
  <c r="H11" i="3"/>
  <c r="G11" i="3"/>
  <c r="F11" i="3"/>
  <c r="E11" i="3"/>
  <c r="D11" i="3"/>
  <c r="C11" i="3"/>
  <c r="N10" i="3"/>
  <c r="M10" i="3"/>
  <c r="L10" i="3"/>
  <c r="K10" i="3"/>
  <c r="J10" i="3"/>
  <c r="I10" i="3"/>
  <c r="H10" i="3"/>
  <c r="G10" i="3"/>
  <c r="F10" i="3"/>
  <c r="E10" i="3"/>
  <c r="D10" i="3"/>
  <c r="C10" i="3"/>
  <c r="N9" i="3"/>
  <c r="M9" i="3"/>
  <c r="L9" i="3"/>
  <c r="K9" i="3"/>
  <c r="J9" i="3"/>
  <c r="I9" i="3"/>
  <c r="H9" i="3"/>
  <c r="G9" i="3"/>
  <c r="F9" i="3"/>
  <c r="E9" i="3"/>
  <c r="D9" i="3"/>
  <c r="C9" i="3"/>
  <c r="N8" i="3"/>
  <c r="M8" i="3"/>
  <c r="L8" i="3"/>
  <c r="K8" i="3"/>
  <c r="J8" i="3"/>
  <c r="I8" i="3"/>
  <c r="H8" i="3"/>
  <c r="G8" i="3"/>
  <c r="F8" i="3"/>
  <c r="E8" i="3"/>
  <c r="D8" i="3"/>
  <c r="C8" i="3"/>
  <c r="N7" i="3"/>
  <c r="M7" i="3"/>
  <c r="L7" i="3"/>
  <c r="K7" i="3"/>
  <c r="J7" i="3"/>
  <c r="I7" i="3"/>
  <c r="H7" i="3"/>
  <c r="G7" i="3"/>
  <c r="F7" i="3"/>
  <c r="E7" i="3"/>
  <c r="D7" i="3"/>
  <c r="C7" i="3"/>
  <c r="N6" i="3"/>
  <c r="M6" i="3"/>
  <c r="L6" i="3"/>
  <c r="K6" i="3"/>
  <c r="J6" i="3"/>
  <c r="I6" i="3"/>
  <c r="H6" i="3"/>
  <c r="G6" i="3"/>
  <c r="F6" i="3"/>
  <c r="E6" i="3"/>
  <c r="D6" i="3"/>
  <c r="N5" i="3"/>
  <c r="M5" i="3"/>
  <c r="L5" i="3"/>
  <c r="K5" i="3"/>
  <c r="J5" i="3"/>
  <c r="I5" i="3"/>
  <c r="H5" i="3"/>
  <c r="G5" i="3"/>
  <c r="F5" i="3"/>
  <c r="E5" i="3"/>
  <c r="D5" i="3"/>
  <c r="C5" i="3"/>
  <c r="N70" i="2"/>
  <c r="C25" i="1" s="1"/>
  <c r="M70" i="2"/>
  <c r="L70" i="2"/>
  <c r="K70" i="2"/>
  <c r="J70" i="2"/>
  <c r="I70" i="2"/>
  <c r="H70" i="2"/>
  <c r="C19" i="1" s="1"/>
  <c r="G70" i="2"/>
  <c r="F70" i="2"/>
  <c r="E70" i="2"/>
  <c r="D70" i="2"/>
  <c r="C15" i="1" s="1"/>
  <c r="C70" i="2"/>
  <c r="C14" i="1" s="1"/>
  <c r="C26" i="1" s="1"/>
  <c r="O69" i="2"/>
  <c r="O68" i="2"/>
  <c r="O67" i="2"/>
  <c r="O66" i="2"/>
  <c r="G21" i="1" s="1"/>
  <c r="O65" i="2"/>
  <c r="O64" i="2"/>
  <c r="O63" i="2"/>
  <c r="O62" i="2"/>
  <c r="G17" i="1" s="1"/>
  <c r="O61" i="2"/>
  <c r="O60" i="2"/>
  <c r="O59" i="2"/>
  <c r="O58" i="2"/>
  <c r="O57" i="2"/>
  <c r="O56" i="2"/>
  <c r="O55" i="2"/>
  <c r="O54" i="2"/>
  <c r="O53" i="2"/>
  <c r="O52" i="2"/>
  <c r="O51" i="2"/>
  <c r="O50" i="2"/>
  <c r="G18" i="1" s="1"/>
  <c r="O49" i="2"/>
  <c r="O48" i="2"/>
  <c r="G19" i="1" s="1"/>
  <c r="O47" i="2"/>
  <c r="G15" i="1" s="1"/>
  <c r="O46" i="2"/>
  <c r="O45" i="2"/>
  <c r="O44" i="2"/>
  <c r="G16" i="1" s="1"/>
  <c r="O43" i="2"/>
  <c r="O70" i="2" s="1"/>
  <c r="N38" i="2"/>
  <c r="B25" i="1" s="1"/>
  <c r="M38" i="2"/>
  <c r="B24" i="1" s="1"/>
  <c r="D24" i="1" s="1"/>
  <c r="L38" i="2"/>
  <c r="K38" i="2"/>
  <c r="B22" i="1" s="1"/>
  <c r="D22" i="1" s="1"/>
  <c r="J38" i="2"/>
  <c r="I38" i="2"/>
  <c r="B20" i="1" s="1"/>
  <c r="D20" i="1" s="1"/>
  <c r="H38" i="2"/>
  <c r="B19" i="1" s="1"/>
  <c r="D19" i="1" s="1"/>
  <c r="G38" i="2"/>
  <c r="F38" i="2"/>
  <c r="B17" i="1" s="1"/>
  <c r="D17" i="1" s="1"/>
  <c r="E38" i="2"/>
  <c r="B16" i="1" s="1"/>
  <c r="D16" i="1" s="1"/>
  <c r="D38" i="2"/>
  <c r="B15" i="1" s="1"/>
  <c r="C38" i="2"/>
  <c r="B14" i="1" s="1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F35" i="1"/>
  <c r="D35" i="1"/>
  <c r="F34" i="1"/>
  <c r="D34" i="1"/>
  <c r="F33" i="1"/>
  <c r="D33" i="1"/>
  <c r="F32" i="1"/>
  <c r="D32" i="1"/>
  <c r="F31" i="1"/>
  <c r="D31" i="1"/>
  <c r="C24" i="1"/>
  <c r="C23" i="1"/>
  <c r="B23" i="1"/>
  <c r="C22" i="1"/>
  <c r="C21" i="1"/>
  <c r="B21" i="1"/>
  <c r="D21" i="1" s="1"/>
  <c r="G20" i="1"/>
  <c r="C20" i="1"/>
  <c r="C18" i="1"/>
  <c r="B18" i="1"/>
  <c r="C17" i="1"/>
  <c r="C16" i="1"/>
  <c r="O24" i="3" l="1"/>
  <c r="E28" i="3"/>
  <c r="M28" i="3"/>
  <c r="H28" i="3"/>
  <c r="N28" i="3"/>
  <c r="O12" i="3"/>
  <c r="J28" i="3"/>
  <c r="O11" i="3"/>
  <c r="O13" i="3"/>
  <c r="O15" i="3"/>
  <c r="O17" i="3"/>
  <c r="O19" i="3"/>
  <c r="O21" i="3"/>
  <c r="O23" i="3"/>
  <c r="O25" i="3"/>
  <c r="O27" i="3"/>
  <c r="I28" i="3"/>
  <c r="D25" i="1"/>
  <c r="O7" i="3"/>
  <c r="O9" i="3"/>
  <c r="D18" i="1"/>
  <c r="K28" i="3"/>
  <c r="O10" i="3"/>
  <c r="O18" i="3"/>
  <c r="O38" i="2"/>
  <c r="I72" i="1" s="1"/>
  <c r="D23" i="1"/>
  <c r="D28" i="3"/>
  <c r="L28" i="3"/>
  <c r="O26" i="3"/>
  <c r="O6" i="3"/>
  <c r="O16" i="3"/>
  <c r="O20" i="3"/>
  <c r="O22" i="3"/>
  <c r="G28" i="3"/>
  <c r="F28" i="3"/>
  <c r="O8" i="3"/>
  <c r="O14" i="3"/>
  <c r="E55" i="4"/>
  <c r="F62" i="4"/>
  <c r="G49" i="4"/>
  <c r="F70" i="4"/>
  <c r="B52" i="4"/>
  <c r="G46" i="4"/>
  <c r="K8" i="4"/>
  <c r="B47" i="4"/>
  <c r="C70" i="4"/>
  <c r="K36" i="4"/>
  <c r="J19" i="4"/>
  <c r="J9" i="4"/>
  <c r="G44" i="4"/>
  <c r="G65" i="4"/>
  <c r="G60" i="4"/>
  <c r="G72" i="4"/>
  <c r="F69" i="4"/>
  <c r="J32" i="4"/>
  <c r="B74" i="4"/>
  <c r="J27" i="4"/>
  <c r="E64" i="4"/>
  <c r="K32" i="4"/>
  <c r="J37" i="4"/>
  <c r="E51" i="4"/>
  <c r="J17" i="4"/>
  <c r="G54" i="4"/>
  <c r="J8" i="4"/>
  <c r="E56" i="4"/>
  <c r="G51" i="4"/>
  <c r="G63" i="4"/>
  <c r="F73" i="4"/>
  <c r="F56" i="4"/>
  <c r="E46" i="4"/>
  <c r="B58" i="4"/>
  <c r="F60" i="4"/>
  <c r="F65" i="4"/>
  <c r="K31" i="4"/>
  <c r="G56" i="4"/>
  <c r="J7" i="4"/>
  <c r="G68" i="4"/>
  <c r="G48" i="4"/>
  <c r="D52" i="4"/>
  <c r="J18" i="4"/>
  <c r="K19" i="4"/>
  <c r="E57" i="4"/>
  <c r="D65" i="4"/>
  <c r="K33" i="4"/>
  <c r="G70" i="4"/>
  <c r="E65" i="4"/>
  <c r="K12" i="4"/>
  <c r="K13" i="4"/>
  <c r="E52" i="4"/>
  <c r="D59" i="4"/>
  <c r="B61" i="4"/>
  <c r="D64" i="4"/>
  <c r="C71" i="4"/>
  <c r="B54" i="4"/>
  <c r="K9" i="4"/>
  <c r="F55" i="4"/>
  <c r="D46" i="4"/>
  <c r="B55" i="4"/>
  <c r="J10" i="4"/>
  <c r="F52" i="4"/>
  <c r="C59" i="4"/>
  <c r="D60" i="4"/>
  <c r="C64" i="4"/>
  <c r="J31" i="4"/>
  <c r="J33" i="4"/>
  <c r="D55" i="4"/>
  <c r="G62" i="4"/>
  <c r="E70" i="4"/>
  <c r="E44" i="4"/>
  <c r="D39" i="4"/>
  <c r="K30" i="4"/>
  <c r="E72" i="4"/>
  <c r="K7" i="4"/>
  <c r="J13" i="4"/>
  <c r="K20" i="4"/>
  <c r="D67" i="4"/>
  <c r="G55" i="4"/>
  <c r="K18" i="4"/>
  <c r="G57" i="4"/>
  <c r="J23" i="4"/>
  <c r="K25" i="4"/>
  <c r="F64" i="4"/>
  <c r="B49" i="4"/>
  <c r="C72" i="4"/>
  <c r="F49" i="4"/>
  <c r="D72" i="4"/>
  <c r="H39" i="4"/>
  <c r="C58" i="4"/>
  <c r="K27" i="4"/>
  <c r="D71" i="4"/>
  <c r="J36" i="4"/>
  <c r="C74" i="4"/>
  <c r="K14" i="4"/>
  <c r="D58" i="4"/>
  <c r="C39" i="4"/>
  <c r="C60" i="4"/>
  <c r="C65" i="4"/>
  <c r="F51" i="4"/>
  <c r="F58" i="4"/>
  <c r="E67" i="4"/>
  <c r="E74" i="4"/>
  <c r="G43" i="4"/>
  <c r="K29" i="4"/>
  <c r="G69" i="4"/>
  <c r="E58" i="4"/>
  <c r="D74" i="4"/>
  <c r="J11" i="4"/>
  <c r="G53" i="4"/>
  <c r="K26" i="4"/>
  <c r="J34" i="4"/>
  <c r="E60" i="4"/>
  <c r="B69" i="4"/>
  <c r="F74" i="4"/>
  <c r="D47" i="4"/>
  <c r="J12" i="4"/>
  <c r="K21" i="4"/>
  <c r="G58" i="4"/>
  <c r="K37" i="4"/>
  <c r="G74" i="4"/>
  <c r="E39" i="4"/>
  <c r="I39" i="4"/>
  <c r="D63" i="4"/>
  <c r="F67" i="4"/>
  <c r="K22" i="4"/>
  <c r="B45" i="4"/>
  <c r="C47" i="4"/>
  <c r="E63" i="4"/>
  <c r="G67" i="4"/>
  <c r="J26" i="4"/>
  <c r="F66" i="4"/>
  <c r="E66" i="4"/>
  <c r="D66" i="4"/>
  <c r="B43" i="4"/>
  <c r="C45" i="4"/>
  <c r="C54" i="4"/>
  <c r="F63" i="4"/>
  <c r="F72" i="4"/>
  <c r="G47" i="4"/>
  <c r="F47" i="4"/>
  <c r="E47" i="4"/>
  <c r="G52" i="4"/>
  <c r="J21" i="4"/>
  <c r="K23" i="4"/>
  <c r="E61" i="4"/>
  <c r="D61" i="4"/>
  <c r="C61" i="4"/>
  <c r="J28" i="4"/>
  <c r="J30" i="4"/>
  <c r="G71" i="4"/>
  <c r="F71" i="4"/>
  <c r="E71" i="4"/>
  <c r="C43" i="4"/>
  <c r="D45" i="4"/>
  <c r="B50" i="4"/>
  <c r="C52" i="4"/>
  <c r="B59" i="4"/>
  <c r="F61" i="4"/>
  <c r="E68" i="4"/>
  <c r="K16" i="4"/>
  <c r="D56" i="4"/>
  <c r="C56" i="4"/>
  <c r="B56" i="4"/>
  <c r="J25" i="4"/>
  <c r="D43" i="4"/>
  <c r="E45" i="4"/>
  <c r="B48" i="4"/>
  <c r="C50" i="4"/>
  <c r="B57" i="4"/>
  <c r="G61" i="4"/>
  <c r="B66" i="4"/>
  <c r="F68" i="4"/>
  <c r="C51" i="4"/>
  <c r="B51" i="4"/>
  <c r="J20" i="4"/>
  <c r="E43" i="4"/>
  <c r="F45" i="4"/>
  <c r="C48" i="4"/>
  <c r="D50" i="4"/>
  <c r="C57" i="4"/>
  <c r="B64" i="4"/>
  <c r="C66" i="4"/>
  <c r="B73" i="4"/>
  <c r="B46" i="4"/>
  <c r="J15" i="4"/>
  <c r="K17" i="4"/>
  <c r="J22" i="4"/>
  <c r="J24" i="4"/>
  <c r="B70" i="4"/>
  <c r="J38" i="4"/>
  <c r="F43" i="4"/>
  <c r="C46" i="4"/>
  <c r="D48" i="4"/>
  <c r="E50" i="4"/>
  <c r="B53" i="4"/>
  <c r="C55" i="4"/>
  <c r="D57" i="4"/>
  <c r="B62" i="4"/>
  <c r="G66" i="4"/>
  <c r="B71" i="4"/>
  <c r="K10" i="4"/>
  <c r="K15" i="4"/>
  <c r="K24" i="4"/>
  <c r="J29" i="4"/>
  <c r="K34" i="4"/>
  <c r="E73" i="4"/>
  <c r="D73" i="4"/>
  <c r="C73" i="4"/>
  <c r="K38" i="4"/>
  <c r="E48" i="4"/>
  <c r="F50" i="4"/>
  <c r="C53" i="4"/>
  <c r="B60" i="4"/>
  <c r="C62" i="4"/>
  <c r="G73" i="4"/>
  <c r="J14" i="4"/>
  <c r="F54" i="4"/>
  <c r="E54" i="4"/>
  <c r="D54" i="4"/>
  <c r="D53" i="4"/>
  <c r="C63" i="4"/>
  <c r="B63" i="4"/>
  <c r="F48" i="4"/>
  <c r="G50" i="4"/>
  <c r="F57" i="4"/>
  <c r="D62" i="4"/>
  <c r="B67" i="4"/>
  <c r="C69" i="4"/>
  <c r="F39" i="4"/>
  <c r="K11" i="4"/>
  <c r="E49" i="4"/>
  <c r="D49" i="4"/>
  <c r="C49" i="4"/>
  <c r="J16" i="4"/>
  <c r="G59" i="4"/>
  <c r="F59" i="4"/>
  <c r="E59" i="4"/>
  <c r="G64" i="4"/>
  <c r="K35" i="4"/>
  <c r="J35" i="4"/>
  <c r="D51" i="4"/>
  <c r="E53" i="4"/>
  <c r="E62" i="4"/>
  <c r="B65" i="4"/>
  <c r="C67" i="4"/>
  <c r="D69" i="4"/>
  <c r="G39" i="4"/>
  <c r="D44" i="4"/>
  <c r="C44" i="4"/>
  <c r="B44" i="4"/>
  <c r="K28" i="4"/>
  <c r="D68" i="4"/>
  <c r="C68" i="4"/>
  <c r="B68" i="4"/>
  <c r="F44" i="4"/>
  <c r="F53" i="4"/>
  <c r="E69" i="4"/>
  <c r="B72" i="4"/>
  <c r="C28" i="3"/>
  <c r="D6" i="1"/>
  <c r="A6" i="1"/>
  <c r="B26" i="1"/>
  <c r="G6" i="1"/>
  <c r="I73" i="1"/>
  <c r="D9" i="1"/>
  <c r="D15" i="1"/>
  <c r="O5" i="3"/>
  <c r="G9" i="1"/>
  <c r="D14" i="1"/>
  <c r="G14" i="1"/>
  <c r="O28" i="3" l="1"/>
  <c r="D26" i="1"/>
  <c r="A9" i="1"/>
  <c r="H70" i="4"/>
  <c r="H65" i="4"/>
  <c r="H56" i="4"/>
  <c r="H72" i="4"/>
  <c r="H58" i="4"/>
  <c r="H55" i="4"/>
  <c r="H46" i="4"/>
  <c r="H54" i="4"/>
  <c r="H74" i="4"/>
  <c r="H69" i="4"/>
  <c r="H51" i="4"/>
  <c r="H67" i="4"/>
  <c r="H60" i="4"/>
  <c r="H61" i="4"/>
  <c r="H45" i="4"/>
  <c r="H49" i="4"/>
  <c r="H73" i="4"/>
  <c r="H47" i="4"/>
  <c r="H44" i="4"/>
  <c r="H52" i="4"/>
  <c r="H62" i="4"/>
  <c r="H57" i="4"/>
  <c r="H53" i="4"/>
  <c r="H48" i="4"/>
  <c r="H68" i="4"/>
  <c r="H59" i="4"/>
  <c r="H50" i="4"/>
  <c r="H63" i="4"/>
  <c r="H43" i="4"/>
  <c r="H71" i="4"/>
  <c r="H64" i="4"/>
  <c r="H66" i="4"/>
  <c r="G22" i="1"/>
  <c r="H14" i="1" s="1"/>
  <c r="H19" i="1" l="1"/>
  <c r="H18" i="1"/>
  <c r="H16" i="1"/>
  <c r="H20" i="1"/>
  <c r="H15" i="1"/>
  <c r="H17" i="1"/>
  <c r="H21" i="1"/>
</calcChain>
</file>

<file path=xl/sharedStrings.xml><?xml version="1.0" encoding="utf-8"?>
<sst xmlns="http://schemas.openxmlformats.org/spreadsheetml/2006/main" count="478" uniqueCount="153">
  <si>
    <t>PST — ELECTRICITY &amp; ENERGY DASHBOARD 2026</t>
  </si>
  <si>
    <t>KEY FIGURES  (Year-to-date, Jan–Jun 2026)</t>
  </si>
  <si>
    <t>Total Consumption</t>
  </si>
  <si>
    <t>Machine (Process)</t>
  </si>
  <si>
    <t>Facility (Support)</t>
  </si>
  <si>
    <t>Machine Share</t>
  </si>
  <si>
    <t>Facility Share</t>
  </si>
  <si>
    <t>Latest Month (Jun)</t>
  </si>
  <si>
    <t>MONTHLY CONSUMPTION (kWh)</t>
  </si>
  <si>
    <t>FACILITY BREAKDOWN — YTD (kWh)</t>
  </si>
  <si>
    <t>Month</t>
  </si>
  <si>
    <t>Machine</t>
  </si>
  <si>
    <t>Facility</t>
  </si>
  <si>
    <t>Total</t>
  </si>
  <si>
    <t>Category</t>
  </si>
  <si>
    <t>kWh</t>
  </si>
  <si>
    <t>% of Facility</t>
  </si>
  <si>
    <t>Jan</t>
  </si>
  <si>
    <t>Chillers &amp; Cooling Towers</t>
  </si>
  <si>
    <t>Feb</t>
  </si>
  <si>
    <t>HVAC / Air Conditioning</t>
  </si>
  <si>
    <t>Mar</t>
  </si>
  <si>
    <t>Compressed Air</t>
  </si>
  <si>
    <t>Apr</t>
  </si>
  <si>
    <t>Lighting &amp; Small Power</t>
  </si>
  <si>
    <t>May</t>
  </si>
  <si>
    <t>Water Treatment</t>
  </si>
  <si>
    <t>Jun</t>
  </si>
  <si>
    <t>Scrubbers / Exhaust</t>
  </si>
  <si>
    <t>Jul</t>
  </si>
  <si>
    <t>Dust Collection</t>
  </si>
  <si>
    <t>Aug</t>
  </si>
  <si>
    <t>Other / Process Support</t>
  </si>
  <si>
    <t>Sep</t>
  </si>
  <si>
    <t>Oct</t>
  </si>
  <si>
    <t>Nov</t>
  </si>
  <si>
    <t>Dec</t>
  </si>
  <si>
    <t>PRODUCTION &amp; ENERGY INTENSITY  (main-meter basis, Jan–May)</t>
  </si>
  <si>
    <t>Output (m²)</t>
  </si>
  <si>
    <t>Power (kWh)</t>
  </si>
  <si>
    <t>kWh/m²</t>
  </si>
  <si>
    <t>Target kWh/ft²</t>
  </si>
  <si>
    <t>Actual kWh/ft²</t>
  </si>
  <si>
    <t>Note: Output/power on this table use the plant main meter and will differ slightly from the sub-metered totals above (shared/unmetered loads).</t>
  </si>
  <si>
    <t>SOURCE DATA — Sub-metered monthly electricity (kWh)</t>
  </si>
  <si>
    <t>MACHINE (Process) sub-meters</t>
  </si>
  <si>
    <t>Machine / Sub-meter</t>
  </si>
  <si>
    <t>Process Step</t>
  </si>
  <si>
    <t>PP-17</t>
  </si>
  <si>
    <t>14 - Solder Mask</t>
  </si>
  <si>
    <t>DEVERLOP S/M เก่า</t>
  </si>
  <si>
    <t>IMMT</t>
  </si>
  <si>
    <t>21 - Immersion Tin</t>
  </si>
  <si>
    <t>E-CLIP ตู้ที่1</t>
  </si>
  <si>
    <t>8 - Eclipse (Desmear/PTH)</t>
  </si>
  <si>
    <t>IMMERSION GOLD</t>
  </si>
  <si>
    <t>17 - Immersion Gold (ENIG)</t>
  </si>
  <si>
    <t>POST-TREATMENT CLEANING</t>
  </si>
  <si>
    <t>SANDBLASTING GRINDING</t>
  </si>
  <si>
    <t>ANTIOXIDENT OSP</t>
  </si>
  <si>
    <t>16 - Carbon</t>
  </si>
  <si>
    <t>SPRAY TIN POST-PROCESSING MACHINE L/F</t>
  </si>
  <si>
    <t>18 - HASL (Lead-Free)</t>
  </si>
  <si>
    <t>TIN SPRAY PRE-TREATMENT MACHINE L/F</t>
  </si>
  <si>
    <t>ETCHING AND FILM STRIPPING</t>
  </si>
  <si>
    <t>4 - Acid Etch</t>
  </si>
  <si>
    <t>BROWNING MACHINE</t>
  </si>
  <si>
    <t>3 - Inner Layer Etching</t>
  </si>
  <si>
    <t>PP-17 M/C AOI (Machine AOI)</t>
  </si>
  <si>
    <t>5 - AOI Inner</t>
  </si>
  <si>
    <t>PP4</t>
  </si>
  <si>
    <t>20 - E-Test</t>
  </si>
  <si>
    <t>เครื่อง  Enig Product Cleaning Line  No.1</t>
  </si>
  <si>
    <t>เครื่อง Cleaning Line After Routing No.1</t>
  </si>
  <si>
    <t>19 - Routing</t>
  </si>
  <si>
    <t>PP-9</t>
  </si>
  <si>
    <t>DEVERLOP S/M ใหม่</t>
  </si>
  <si>
    <t>PRETREATMENT  S/M เก่า</t>
  </si>
  <si>
    <t>PRETREATMENT  S/M ใหม่</t>
  </si>
  <si>
    <t>PP-1 LDI</t>
  </si>
  <si>
    <t>2 - Inner Layer Dry Film</t>
  </si>
  <si>
    <t>PP-2</t>
  </si>
  <si>
    <t>7 - Drilling</t>
  </si>
  <si>
    <t>DEVERLOP D/F</t>
  </si>
  <si>
    <t>PRETREATMENT D/F</t>
  </si>
  <si>
    <t>VCP</t>
  </si>
  <si>
    <t>11 - Pattern Plating</t>
  </si>
  <si>
    <t>PANAL PLATE</t>
  </si>
  <si>
    <t>9 - Panel Plating</t>
  </si>
  <si>
    <t>E-CLIP ตู้ที่2</t>
  </si>
  <si>
    <t>E-CLIP ตู้ที่3</t>
  </si>
  <si>
    <t>ETCHING 1 ติด IMMT</t>
  </si>
  <si>
    <t>12 - Alkaline Etch</t>
  </si>
  <si>
    <t>ETCHING 2 ติด AOI</t>
  </si>
  <si>
    <t>PP-20</t>
  </si>
  <si>
    <t>15 - Legend</t>
  </si>
  <si>
    <t>PP-10</t>
  </si>
  <si>
    <t>1 - Board Cut</t>
  </si>
  <si>
    <t>TOTAL — Machine</t>
  </si>
  <si>
    <t>FACILITY / Support sub-meters</t>
  </si>
  <si>
    <t>Facility / Sub-meter</t>
  </si>
  <si>
    <t>CHILLER 1,2</t>
  </si>
  <si>
    <t>AIR COMP 2</t>
  </si>
  <si>
    <t>PP-COMP</t>
  </si>
  <si>
    <t>PAC-1</t>
  </si>
  <si>
    <t>FRESH AIR</t>
  </si>
  <si>
    <t>SCRUBER ACID 37 KW</t>
  </si>
  <si>
    <t>SCRUBER AKLINE 15 KW</t>
  </si>
  <si>
    <t>WATERTREATMENT PLANT น้ำดี</t>
  </si>
  <si>
    <t>WATERTREATMENT PLANT น้ำชั้น 2</t>
  </si>
  <si>
    <t>DB 5 - IMMG</t>
  </si>
  <si>
    <t>DB 6 - L/F</t>
  </si>
  <si>
    <t>DB 4 - INNER</t>
  </si>
  <si>
    <t>LP-GH  (ไฟรอบโรงงาน)</t>
  </si>
  <si>
    <t>LP-OF1  ขวา</t>
  </si>
  <si>
    <t>LP-OF2</t>
  </si>
  <si>
    <t>LP-OF3</t>
  </si>
  <si>
    <t>PAC-OF1  ซ้าย</t>
  </si>
  <si>
    <t>PAC-OF2</t>
  </si>
  <si>
    <t>HVAC #2 Panal</t>
  </si>
  <si>
    <t>LP Canteen</t>
  </si>
  <si>
    <t>PP-7  Chiller90 Ton AHU D/F</t>
  </si>
  <si>
    <t>PP-15 250 A</t>
  </si>
  <si>
    <t>PP-30 Machine Legend S/M</t>
  </si>
  <si>
    <t>PP-20 M/C SM / DF</t>
  </si>
  <si>
    <t>PAC-2</t>
  </si>
  <si>
    <t>PP-5</t>
  </si>
  <si>
    <t>DB 3 -  W/H</t>
  </si>
  <si>
    <t>TOTAL — Facility</t>
  </si>
  <si>
    <t>PROCESS-WISE MONTHLY CONSUMPTION (kWh) — 2026</t>
  </si>
  <si>
    <t>#</t>
  </si>
  <si>
    <t>6 - Lamination</t>
  </si>
  <si>
    <t>10 - Outer Dry Film</t>
  </si>
  <si>
    <t>13 - AOI Outer</t>
  </si>
  <si>
    <t>22 - FQC / FQA</t>
  </si>
  <si>
    <t>23 - Package</t>
  </si>
  <si>
    <t>TOTAL — All Processes</t>
  </si>
  <si>
    <t>MACHINE-WISE MONTHLY ELECTRICITY CONSUMPTION — ANOMALY ANALYSIS</t>
  </si>
  <si>
    <t>Legend:</t>
  </si>
  <si>
    <t>High ( &gt; +5% )</t>
  </si>
  <si>
    <t>Low ( &lt; −5% )</t>
  </si>
  <si>
    <t>Within ±5% = not shaded</t>
  </si>
  <si>
    <t>1)  MONTHLY CONSUMPTION (kWh) — shaded when &gt; ±5% from the machine average</t>
  </si>
  <si>
    <t>Avg (Jan–Jun)</t>
  </si>
  <si>
    <t>Min</t>
  </si>
  <si>
    <t>Max</t>
  </si>
  <si>
    <t>TOTAL — all machines</t>
  </si>
  <si>
    <t>2)  DEVIATION FROM MACHINE AVERAGE (%) — same ±5% flags</t>
  </si>
  <si>
    <t>Max |Δ%|</t>
  </si>
  <si>
    <t>FACILITY-WISE MONTHLY ELECTRICITY CONSUMPTION — ANOMALY ANALYSIS</t>
  </si>
  <si>
    <t>1)  MONTHLY CONSUMPTION (kWh) — shaded when &gt; ±5% from the facility average</t>
  </si>
  <si>
    <t>TOTAL — all facilities</t>
  </si>
  <si>
    <t>2)  DEVIATION FROM FACILITY AVERAGE (%) — same ±5% flags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</si>
</sst>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25" x14ac:knownFonts="1">
    <font>
      <sz val="11"/>
      <color theme="1"/>
      <name val="Calibri"/>
      <family val="2"/>
      <charset val="1"/>
    </font>
    <font>
      <b/>
      <sz val="18"/>
      <color rgb="FF1F3B57"/>
      <name val="Arial"/>
      <charset val="1"/>
    </font>
    <font>
      <i/>
      <sz val="9"/>
      <color rgb="FF555555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5"/>
      <color rgb="FF1F3B57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8"/>
      <color rgb="FF777777"/>
      <name val="Arial"/>
      <charset val="1"/>
    </font>
    <font>
      <b/>
      <sz val="16"/>
      <color rgb="FF1F3B57"/>
      <name val="Arial"/>
      <charset val="1"/>
    </font>
    <font>
      <b/>
      <i/>
      <sz val="8"/>
      <color rgb="FF444444"/>
      <name val="Arial"/>
      <charset val="1"/>
    </font>
    <font>
      <sz val="11"/>
      <color theme="1"/>
      <name val="Calibri"/>
      <family val="2"/>
      <charset val="1"/>
    </font>
    <font>
      <i/>
      <sz val="10"/>
      <color rgb="FF444444"/>
      <name val="Arial"/>
      <charset val="1"/>
    </font>
    <font>
      <sz val="11"/>
      <color rgb="FF9C0006"/>
      <name val="Arial"/>
      <charset val="1"/>
    </font>
    <font>
      <sz val="11"/>
      <color rgb="FF1F4E79"/>
      <name val="Arial"/>
      <charset val="1"/>
    </font>
    <font>
      <sz val="11"/>
      <name val="Arial"/>
      <family val="2"/>
    </font>
    <font>
      <b/>
      <sz val="15"/>
      <color rgb="FF1F3B57"/>
      <name val="Arial"/>
    </font>
    <font>
      <i/>
      <sz val="10"/>
      <color rgb="FF444444"/>
      <name val="Arial"/>
    </font>
    <font>
      <b/>
      <sz val="11"/>
      <name val="Arial"/>
    </font>
    <font>
      <sz val="11"/>
      <color rgb="FF9C0006"/>
      <name val="Arial"/>
    </font>
    <font>
      <sz val="11"/>
      <color rgb="FF1F4E79"/>
      <name val="Arial"/>
    </font>
    <font>
      <sz val="11"/>
      <name val="Arial"/>
    </font>
    <font>
      <b/>
      <sz val="12"/>
      <color rgb="FFFFFFFF"/>
      <name val="Arial"/>
    </font>
    <font>
      <b/>
      <sz val="11"/>
      <color rgb="FFFFFFFF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B57"/>
        <bgColor rgb="FF444444"/>
      </patternFill>
    </fill>
    <fill>
      <patternFill patternType="solid">
        <fgColor rgb="FF2E7D8A"/>
        <bgColor rgb="FF4F81BD"/>
      </patternFill>
    </fill>
    <fill>
      <patternFill patternType="solid">
        <fgColor rgb="FFF2F5F7"/>
        <bgColor rgb="FFEAF0F2"/>
      </patternFill>
    </fill>
    <fill>
      <patternFill patternType="solid">
        <fgColor rgb="FFEAF0F2"/>
        <bgColor rgb="FFF2F5F7"/>
      </patternFill>
    </fill>
    <fill>
      <patternFill patternType="solid">
        <fgColor rgb="FFFFC7CE"/>
        <bgColor rgb="FFD9D9D9"/>
      </patternFill>
    </fill>
    <fill>
      <patternFill patternType="solid">
        <fgColor rgb="FFDDEBF7"/>
        <bgColor rgb="FFEAEFF3"/>
      </patternFill>
    </fill>
    <fill>
      <patternFill patternType="solid">
        <fgColor rgb="FF1F3B57"/>
        <bgColor rgb="FF1F4E79"/>
      </patternFill>
    </fill>
    <fill>
      <patternFill patternType="solid">
        <fgColor rgb="FFEAEFF3"/>
        <bgColor rgb="FFEAF0F2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1F3B57"/>
      </patternFill>
    </fill>
    <fill>
      <patternFill patternType="solid">
        <fgColor rgb="FF2E7D8A"/>
      </patternFill>
    </fill>
    <fill>
      <patternFill patternType="solid">
        <fgColor rgb="FFEAEFF3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9D4DA"/>
      </left>
      <right style="thin">
        <color rgb="FFC9D4DA"/>
      </right>
      <top style="thin">
        <color rgb="FFC9D4DA"/>
      </top>
      <bottom style="thin">
        <color rgb="FFC9D4D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/>
    <xf numFmtId="3" fontId="7" fillId="0" borderId="1" xfId="0" applyNumberFormat="1" applyFont="1" applyBorder="1"/>
    <xf numFmtId="0" fontId="7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/>
    <xf numFmtId="0" fontId="7" fillId="4" borderId="1" xfId="0" applyFont="1" applyFill="1" applyBorder="1"/>
    <xf numFmtId="3" fontId="7" fillId="4" borderId="1" xfId="0" applyNumberFormat="1" applyFont="1" applyFill="1" applyBorder="1"/>
    <xf numFmtId="0" fontId="7" fillId="4" borderId="1" xfId="0" applyFont="1" applyFill="1" applyBorder="1" applyAlignment="1">
      <alignment horizontal="left" vertical="center" wrapText="1"/>
    </xf>
    <xf numFmtId="164" fontId="7" fillId="4" borderId="1" xfId="0" applyNumberFormat="1" applyFont="1" applyFill="1" applyBorder="1"/>
    <xf numFmtId="0" fontId="8" fillId="5" borderId="1" xfId="0" applyFont="1" applyFill="1" applyBorder="1"/>
    <xf numFmtId="3" fontId="8" fillId="5" borderId="1" xfId="0" applyNumberFormat="1" applyFont="1" applyFill="1" applyBorder="1"/>
    <xf numFmtId="164" fontId="8" fillId="5" borderId="1" xfId="0" applyNumberFormat="1" applyFont="1" applyFill="1" applyBorder="1"/>
    <xf numFmtId="165" fontId="7" fillId="0" borderId="1" xfId="0" applyNumberFormat="1" applyFont="1" applyBorder="1"/>
    <xf numFmtId="1" fontId="7" fillId="0" borderId="1" xfId="0" applyNumberFormat="1" applyFont="1" applyBorder="1"/>
    <xf numFmtId="165" fontId="7" fillId="4" borderId="1" xfId="0" applyNumberFormat="1" applyFont="1" applyFill="1" applyBorder="1"/>
    <xf numFmtId="1" fontId="7" fillId="4" borderId="1" xfId="0" applyNumberFormat="1" applyFont="1" applyFill="1" applyBorder="1"/>
    <xf numFmtId="0" fontId="9" fillId="0" borderId="0" xfId="0" applyFont="1"/>
    <xf numFmtId="3" fontId="0" fillId="0" borderId="0" xfId="0" applyNumberFormat="1"/>
    <xf numFmtId="0" fontId="10" fillId="0" borderId="0" xfId="0" applyFont="1"/>
    <xf numFmtId="3" fontId="8" fillId="0" borderId="1" xfId="0" applyNumberFormat="1" applyFont="1" applyBorder="1"/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3" fontId="8" fillId="4" borderId="1" xfId="0" applyNumberFormat="1" applyFont="1" applyFill="1" applyBorder="1"/>
    <xf numFmtId="0" fontId="0" fillId="5" borderId="1" xfId="0" applyFill="1" applyBorder="1"/>
    <xf numFmtId="0" fontId="11" fillId="0" borderId="0" xfId="0" applyFont="1"/>
    <xf numFmtId="0" fontId="8" fillId="0" borderId="0" xfId="0" applyFont="1"/>
    <xf numFmtId="0" fontId="14" fillId="6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3" fontId="7" fillId="0" borderId="2" xfId="0" applyNumberFormat="1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0" fontId="8" fillId="9" borderId="2" xfId="0" applyFont="1" applyFill="1" applyBorder="1"/>
    <xf numFmtId="0" fontId="0" fillId="9" borderId="2" xfId="0" applyFill="1" applyBorder="1"/>
    <xf numFmtId="3" fontId="8" fillId="9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0" fillId="0" borderId="0" xfId="1" applyNumberFormat="1" applyFont="1"/>
    <xf numFmtId="3" fontId="16" fillId="0" borderId="2" xfId="0" applyNumberFormat="1" applyFont="1" applyBorder="1" applyAlignment="1">
      <alignment horizontal="center" vertical="center"/>
    </xf>
    <xf numFmtId="0" fontId="19" fillId="0" borderId="0" xfId="0" applyFont="1"/>
    <xf numFmtId="0" fontId="20" fillId="10" borderId="2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left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/>
    </xf>
    <xf numFmtId="3" fontId="22" fillId="0" borderId="2" xfId="0" applyNumberFormat="1" applyFont="1" applyBorder="1" applyAlignment="1">
      <alignment horizontal="center" vertical="center"/>
    </xf>
    <xf numFmtId="3" fontId="19" fillId="0" borderId="2" xfId="0" applyNumberFormat="1" applyFont="1" applyBorder="1" applyAlignment="1">
      <alignment horizontal="center" vertical="center"/>
    </xf>
    <xf numFmtId="0" fontId="19" fillId="14" borderId="2" xfId="0" applyFont="1" applyFill="1" applyBorder="1"/>
    <xf numFmtId="0" fontId="0" fillId="14" borderId="2" xfId="0" applyFill="1" applyBorder="1"/>
    <xf numFmtId="3" fontId="19" fillId="14" borderId="2" xfId="0" applyNumberFormat="1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left" vertical="center"/>
    </xf>
    <xf numFmtId="0" fontId="24" fillId="13" borderId="2" xfId="0" applyFont="1" applyFill="1" applyBorder="1" applyAlignment="1">
      <alignment horizontal="center" vertical="center"/>
    </xf>
    <xf numFmtId="164" fontId="22" fillId="0" borderId="2" xfId="0" applyNumberFormat="1" applyFont="1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/>
    </xf>
    <xf numFmtId="9" fontId="0" fillId="0" borderId="0" xfId="1" applyFont="1"/>
    <xf numFmtId="0" fontId="7" fillId="15" borderId="1" xfId="0" applyFont="1" applyFill="1" applyBorder="1"/>
    <xf numFmtId="0" fontId="4" fillId="3" borderId="1" xfId="0" applyFont="1" applyFill="1" applyBorder="1" applyAlignment="1">
      <alignment horizontal="left" vertical="center" indent="1"/>
    </xf>
    <xf numFmtId="164" fontId="5" fillId="4" borderId="1" xfId="0" applyNumberFormat="1" applyFont="1" applyFill="1" applyBorder="1" applyAlignment="1">
      <alignment horizontal="left" vertical="center" indent="1"/>
    </xf>
    <xf numFmtId="3" fontId="5" fillId="4" borderId="1" xfId="0" applyNumberFormat="1" applyFont="1" applyFill="1" applyBorder="1" applyAlignment="1">
      <alignment horizontal="left" vertical="center" indent="1"/>
    </xf>
    <xf numFmtId="0" fontId="3" fillId="8" borderId="0" xfId="0" applyFont="1" applyFill="1"/>
    <xf numFmtId="0" fontId="5" fillId="0" borderId="0" xfId="0" applyFont="1"/>
    <xf numFmtId="0" fontId="13" fillId="0" borderId="0" xfId="0" applyFont="1" applyAlignment="1">
      <alignment vertical="top" wrapText="1"/>
    </xf>
    <xf numFmtId="0" fontId="15" fillId="7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3" fillId="12" borderId="0" xfId="0" applyFont="1" applyFill="1"/>
    <xf numFmtId="0" fontId="0" fillId="0" borderId="0" xfId="0"/>
    <xf numFmtId="0" fontId="17" fillId="0" borderId="0" xfId="0" applyFont="1"/>
    <xf numFmtId="0" fontId="18" fillId="0" borderId="0" xfId="0" applyFont="1" applyAlignment="1">
      <alignment vertical="top" wrapText="1"/>
    </xf>
    <xf numFmtId="0" fontId="21" fillId="11" borderId="2" xfId="0" applyFont="1" applyFill="1" applyBorder="1" applyAlignment="1">
      <alignment horizontal="center" vertical="center"/>
    </xf>
    <xf numFmtId="0" fontId="0" fillId="0" borderId="3" xfId="0" applyBorder="1"/>
    <xf numFmtId="0" fontId="22" fillId="0" borderId="0" xfId="0" applyFont="1" applyAlignment="1">
      <alignment horizontal="left" vertical="center"/>
    </xf>
  </cellXfs>
  <cellStyles count="2">
    <cellStyle name="Normal" xfId="0" builtinId="0"/>
    <cellStyle name="Percent" xfId="1" builtinId="5"/>
  </cellStyles>
  <dxfs count="8">
    <dxf>
      <font>
        <sz val="11"/>
        <color theme="3" tint="-0.499984740745262"/>
        <name val="Arial"/>
      </font>
      <fill>
        <patternFill patternType="solid">
          <fgColor rgb="FFDDEBF7"/>
        </patternFill>
      </fill>
    </dxf>
    <dxf>
      <font>
        <sz val="11"/>
        <color rgb="FFFF0000"/>
        <name val="Arial"/>
      </font>
      <fill>
        <patternFill patternType="solid">
          <fgColor rgb="FFFFC7CE"/>
        </patternFill>
      </fill>
    </dxf>
    <dxf>
      <font>
        <sz val="11"/>
        <color theme="3" tint="-0.24994659260841701"/>
        <name val="Arial"/>
      </font>
      <fill>
        <patternFill patternType="solid">
          <fgColor rgb="FFDDEBF7"/>
        </patternFill>
      </fill>
    </dxf>
    <dxf>
      <font>
        <sz val="11"/>
        <color rgb="FFFF0000"/>
        <name val="Arial"/>
      </font>
      <fill>
        <patternFill patternType="solid">
          <fgColor rgb="FFFFC7CE"/>
        </patternFill>
      </fill>
    </dxf>
    <dxf>
      <font>
        <sz val="11"/>
        <color theme="3" tint="-0.499984740745262"/>
        <name val="Arial"/>
        <charset val="1"/>
      </font>
      <fill>
        <patternFill patternType="none">
          <bgColor auto="1"/>
        </patternFill>
      </fill>
    </dxf>
    <dxf>
      <font>
        <sz val="11"/>
        <color rgb="FFFF0000"/>
        <name val="Arial"/>
        <charset val="1"/>
      </font>
      <fill>
        <patternFill patternType="none">
          <bgColor auto="1"/>
        </patternFill>
      </fill>
    </dxf>
    <dxf>
      <font>
        <sz val="11"/>
        <color theme="4" tint="-0.499984740745262"/>
        <name val="Arial"/>
        <charset val="1"/>
      </font>
      <fill>
        <patternFill patternType="none">
          <bgColor auto="1"/>
        </patternFill>
      </fill>
    </dxf>
    <dxf>
      <font>
        <sz val="11"/>
        <color rgb="FFFF0000"/>
        <name val="Arial"/>
        <charset val="1"/>
      </font>
      <fill>
        <patternFill patternType="none">
          <bgColor auto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2F5F7"/>
      <rgbColor rgb="FFEAF0F2"/>
      <rgbColor rgb="FF660066"/>
      <rgbColor rgb="FFFF8080"/>
      <rgbColor rgb="FF0066CC"/>
      <rgbColor rgb="FFC9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777777"/>
      <rgbColor rgb="FF969696"/>
      <rgbColor rgb="FF1F3B57"/>
      <rgbColor rgb="FF2E7D8A"/>
      <rgbColor rgb="FF003300"/>
      <rgbColor rgb="FF333300"/>
      <rgbColor rgb="FF993300"/>
      <rgbColor rgb="FF993366"/>
      <rgbColor rgb="FF555555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Total (kWh)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Dashboard!$A$14:$A$25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Dashboard!$D$14:$D$25</c:f>
              <c:numCache>
                <c:formatCode>#,##0</c:formatCode>
                <c:ptCount val="12"/>
                <c:pt idx="0">
                  <c:v>618662</c:v>
                </c:pt>
                <c:pt idx="1">
                  <c:v>633534</c:v>
                </c:pt>
                <c:pt idx="2">
                  <c:v>616498</c:v>
                </c:pt>
                <c:pt idx="3">
                  <c:v>630826</c:v>
                </c:pt>
                <c:pt idx="4">
                  <c:v>720185</c:v>
                </c:pt>
                <c:pt idx="5">
                  <c:v>672867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2-4923-B859-9C885AA7E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51148"/>
        <c:axId val="40614407"/>
      </c:barChart>
      <c:catAx>
        <c:axId val="535511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0614407"/>
        <c:crosses val="autoZero"/>
        <c:auto val="1"/>
        <c:lblAlgn val="ctr"/>
        <c:lblOffset val="100"/>
        <c:noMultiLvlLbl val="0"/>
      </c:catAx>
      <c:valAx>
        <c:axId val="406144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35511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Facility by Category (YTD kWh)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Dashboard!$G$13</c:f>
              <c:strCache>
                <c:ptCount val="1"/>
                <c:pt idx="0">
                  <c:v>kWh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Dashboard!$F$14:$F$21</c:f>
              <c:strCache>
                <c:ptCount val="8"/>
                <c:pt idx="0">
                  <c:v>Chillers &amp; Cooling Towers</c:v>
                </c:pt>
                <c:pt idx="1">
                  <c:v>HVAC / Air Conditioning</c:v>
                </c:pt>
                <c:pt idx="2">
                  <c:v>Compressed Air</c:v>
                </c:pt>
                <c:pt idx="3">
                  <c:v>Lighting &amp; Small Power</c:v>
                </c:pt>
                <c:pt idx="4">
                  <c:v>Water Treatment</c:v>
                </c:pt>
                <c:pt idx="5">
                  <c:v>Scrubbers / Exhaust</c:v>
                </c:pt>
                <c:pt idx="6">
                  <c:v>Dust Collection</c:v>
                </c:pt>
                <c:pt idx="7">
                  <c:v>Other / Process Support</c:v>
                </c:pt>
              </c:strCache>
            </c:strRef>
          </c:cat>
          <c:val>
            <c:numRef>
              <c:f>Dashboard!$G$14:$G$21</c:f>
              <c:numCache>
                <c:formatCode>#,##0</c:formatCode>
                <c:ptCount val="8"/>
                <c:pt idx="0">
                  <c:v>1268597</c:v>
                </c:pt>
                <c:pt idx="1">
                  <c:v>291805</c:v>
                </c:pt>
                <c:pt idx="2">
                  <c:v>210632</c:v>
                </c:pt>
                <c:pt idx="3">
                  <c:v>66261</c:v>
                </c:pt>
                <c:pt idx="4">
                  <c:v>26942</c:v>
                </c:pt>
                <c:pt idx="5">
                  <c:v>162058</c:v>
                </c:pt>
                <c:pt idx="6">
                  <c:v>93804</c:v>
                </c:pt>
                <c:pt idx="7">
                  <c:v>268190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4-4089-8D09-CAAD3D42A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168785"/>
        <c:axId val="90911748"/>
      </c:barChart>
      <c:catAx>
        <c:axId val="5816878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0911748"/>
        <c:crosses val="autoZero"/>
        <c:auto val="1"/>
        <c:lblAlgn val="ctr"/>
        <c:lblOffset val="100"/>
        <c:noMultiLvlLbl val="0"/>
      </c:catAx>
      <c:valAx>
        <c:axId val="9091174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816878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Machine vs Facility (YTD)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9C4-465D-9F73-D71F8193457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A9C4-465D-9F73-D71F8193457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C4-465D-9F73-D71F8193457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C4-465D-9F73-D71F819345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Dashboard!$H$72:$H$73</c:f>
              <c:strCache>
                <c:ptCount val="2"/>
                <c:pt idx="0">
                  <c:v>Machine</c:v>
                </c:pt>
                <c:pt idx="1">
                  <c:v>Facility</c:v>
                </c:pt>
              </c:strCache>
            </c:strRef>
          </c:cat>
          <c:val>
            <c:numRef>
              <c:f>Dashboard!$I$72:$I$73</c:f>
              <c:numCache>
                <c:formatCode>#,##0</c:formatCode>
                <c:ptCount val="2"/>
                <c:pt idx="0">
                  <c:v>1504283</c:v>
                </c:pt>
                <c:pt idx="1">
                  <c:v>2388289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C4-465D-9F73-D71F81934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YTD kWh by Process Step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'Process-wise Monthly'!$O$4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'Process-wise Monthly'!$B$5:$B$27</c:f>
              <c:strCache>
                <c:ptCount val="23"/>
                <c:pt idx="0">
                  <c:v>1 - Board Cut</c:v>
                </c:pt>
                <c:pt idx="1">
                  <c:v>2 - Inner Layer Dry Film</c:v>
                </c:pt>
                <c:pt idx="2">
                  <c:v>3 - Inner Layer Etching</c:v>
                </c:pt>
                <c:pt idx="3">
                  <c:v>4 - Acid Etch</c:v>
                </c:pt>
                <c:pt idx="4">
                  <c:v>5 - AOI Inner</c:v>
                </c:pt>
                <c:pt idx="5">
                  <c:v>6 - Lamination</c:v>
                </c:pt>
                <c:pt idx="6">
                  <c:v>7 - Drilling</c:v>
                </c:pt>
                <c:pt idx="7">
                  <c:v>8 - Eclipse (Desmear/PTH)</c:v>
                </c:pt>
                <c:pt idx="8">
                  <c:v>9 - Panel Plating</c:v>
                </c:pt>
                <c:pt idx="9">
                  <c:v>10 - Outer Dry Film</c:v>
                </c:pt>
                <c:pt idx="10">
                  <c:v>11 - Pattern Plating</c:v>
                </c:pt>
                <c:pt idx="11">
                  <c:v>12 - Alkaline Etch</c:v>
                </c:pt>
                <c:pt idx="12">
                  <c:v>13 - AOI Outer</c:v>
                </c:pt>
                <c:pt idx="13">
                  <c:v>14 - Solder Mask</c:v>
                </c:pt>
                <c:pt idx="14">
                  <c:v>15 - Legend</c:v>
                </c:pt>
                <c:pt idx="15">
                  <c:v>16 - Carbon</c:v>
                </c:pt>
                <c:pt idx="16">
                  <c:v>17 - Immersion Gold (ENIG)</c:v>
                </c:pt>
                <c:pt idx="17">
                  <c:v>18 - HASL (Lead-Free)</c:v>
                </c:pt>
                <c:pt idx="18">
                  <c:v>19 - Routing</c:v>
                </c:pt>
                <c:pt idx="19">
                  <c:v>20 - E-Test</c:v>
                </c:pt>
                <c:pt idx="20">
                  <c:v>21 - Immersion Tin</c:v>
                </c:pt>
                <c:pt idx="21">
                  <c:v>22 - FQC / FQA</c:v>
                </c:pt>
                <c:pt idx="22">
                  <c:v>23 - Package</c:v>
                </c:pt>
              </c:strCache>
            </c:strRef>
          </c:cat>
          <c:val>
            <c:numRef>
              <c:f>'Process-wise Monthly'!$O$5:$O$27</c:f>
              <c:numCache>
                <c:formatCode>#,##0</c:formatCode>
                <c:ptCount val="23"/>
                <c:pt idx="0">
                  <c:v>40277</c:v>
                </c:pt>
                <c:pt idx="1">
                  <c:v>123487</c:v>
                </c:pt>
                <c:pt idx="2">
                  <c:v>988</c:v>
                </c:pt>
                <c:pt idx="3">
                  <c:v>18540</c:v>
                </c:pt>
                <c:pt idx="4">
                  <c:v>10053</c:v>
                </c:pt>
                <c:pt idx="5">
                  <c:v>0</c:v>
                </c:pt>
                <c:pt idx="6">
                  <c:v>60104</c:v>
                </c:pt>
                <c:pt idx="7">
                  <c:v>290014</c:v>
                </c:pt>
                <c:pt idx="8">
                  <c:v>201580</c:v>
                </c:pt>
                <c:pt idx="9">
                  <c:v>0</c:v>
                </c:pt>
                <c:pt idx="10">
                  <c:v>207741</c:v>
                </c:pt>
                <c:pt idx="11">
                  <c:v>130865</c:v>
                </c:pt>
                <c:pt idx="12">
                  <c:v>0</c:v>
                </c:pt>
                <c:pt idx="13">
                  <c:v>124930</c:v>
                </c:pt>
                <c:pt idx="14">
                  <c:v>43111</c:v>
                </c:pt>
                <c:pt idx="15">
                  <c:v>1749</c:v>
                </c:pt>
                <c:pt idx="16">
                  <c:v>18401</c:v>
                </c:pt>
                <c:pt idx="17">
                  <c:v>26537</c:v>
                </c:pt>
                <c:pt idx="18">
                  <c:v>94152</c:v>
                </c:pt>
                <c:pt idx="19">
                  <c:v>36097</c:v>
                </c:pt>
                <c:pt idx="20">
                  <c:v>75657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C-4492-A221-A67B8059A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866190"/>
        <c:axId val="20909256"/>
      </c:barChart>
      <c:catAx>
        <c:axId val="3786619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0909256"/>
        <c:crosses val="autoZero"/>
        <c:auto val="1"/>
        <c:lblAlgn val="ctr"/>
        <c:lblOffset val="100"/>
        <c:noMultiLvlLbl val="0"/>
      </c:catAx>
      <c:valAx>
        <c:axId val="2090925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78661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0</xdr:rowOff>
    </xdr:from>
    <xdr:to>
      <xdr:col>5</xdr:col>
      <xdr:colOff>677160</xdr:colOff>
      <xdr:row>51</xdr:row>
      <xdr:rowOff>32400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54</xdr:row>
      <xdr:rowOff>0</xdr:rowOff>
    </xdr:from>
    <xdr:to>
      <xdr:col>5</xdr:col>
      <xdr:colOff>677160</xdr:colOff>
      <xdr:row>70</xdr:row>
      <xdr:rowOff>11520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71</xdr:row>
      <xdr:rowOff>0</xdr:rowOff>
    </xdr:from>
    <xdr:to>
      <xdr:col>4</xdr:col>
      <xdr:colOff>153360</xdr:colOff>
      <xdr:row>85</xdr:row>
      <xdr:rowOff>32760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9</xdr:col>
      <xdr:colOff>395640</xdr:colOff>
      <xdr:row>56</xdr:row>
      <xdr:rowOff>149760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nternal\Marketing\Starteam\2026\Template\SVITCH\260719\260719%20PST_Electricity_Dashboard_2026%20(with%20Machine%20Analysis).xlsx" TargetMode="External"/><Relationship Id="rId1" Type="http://schemas.openxmlformats.org/officeDocument/2006/relationships/externalLinkPath" Target="file:///D:\Internal\Marketing\Starteam\2026\Template\SVITCH\260719\260719%20PST_Electricity_Dashboard_2026%20(with%20Machine%20Analysis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nternal\Marketing\Starteam\2026\Template\SVITCH\260719\260719%20PST_Electricity_Dashboard_2026%20(with%20Machine%20%5e0%20Facility%20Analysis).xlsx" TargetMode="External"/><Relationship Id="rId1" Type="http://schemas.openxmlformats.org/officeDocument/2006/relationships/externalLinkPath" Target="file:///D:\Internal\Marketing\Starteam\2026\Template\SVITCH\260719\260719%20PST_Electricity_Dashboard_2026%20(with%20Machine%20%5e0%20Facility%20Analysi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Source Data"/>
      <sheetName val="Machine Analysis"/>
      <sheetName val="Process-wise Monthly"/>
    </sheetNames>
    <sheetDataSet>
      <sheetData sheetId="0"/>
      <sheetData sheetId="1">
        <row r="6">
          <cell r="C6">
            <v>1754</v>
          </cell>
          <cell r="D6">
            <v>1307</v>
          </cell>
          <cell r="E6">
            <v>1867</v>
          </cell>
          <cell r="F6">
            <v>1830</v>
          </cell>
          <cell r="G6">
            <v>2150</v>
          </cell>
          <cell r="H6">
            <v>2440</v>
          </cell>
        </row>
        <row r="7">
          <cell r="C7">
            <v>5006</v>
          </cell>
          <cell r="D7">
            <v>3965</v>
          </cell>
          <cell r="E7">
            <v>5848</v>
          </cell>
          <cell r="F7">
            <v>6307</v>
          </cell>
          <cell r="G7">
            <v>7928</v>
          </cell>
          <cell r="H7">
            <v>7911</v>
          </cell>
        </row>
        <row r="8">
          <cell r="C8">
            <v>15401</v>
          </cell>
          <cell r="D8">
            <v>14614</v>
          </cell>
          <cell r="E8">
            <v>17959</v>
          </cell>
          <cell r="F8">
            <v>7155</v>
          </cell>
          <cell r="G8">
            <v>13269</v>
          </cell>
          <cell r="H8">
            <v>7259</v>
          </cell>
        </row>
        <row r="9">
          <cell r="C9">
            <v>3665</v>
          </cell>
          <cell r="D9">
            <v>2570</v>
          </cell>
          <cell r="E9">
            <v>3636</v>
          </cell>
          <cell r="F9">
            <v>3004</v>
          </cell>
          <cell r="G9">
            <v>4236</v>
          </cell>
          <cell r="H9">
            <v>4272</v>
          </cell>
        </row>
        <row r="10">
          <cell r="C10">
            <v>43</v>
          </cell>
          <cell r="D10">
            <v>28</v>
          </cell>
          <cell r="E10">
            <v>52</v>
          </cell>
          <cell r="F10">
            <v>50</v>
          </cell>
          <cell r="G10">
            <v>38</v>
          </cell>
          <cell r="H10">
            <v>29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</row>
        <row r="12">
          <cell r="C12">
            <v>2928</v>
          </cell>
          <cell r="D12">
            <v>2715</v>
          </cell>
          <cell r="E12">
            <v>3736</v>
          </cell>
          <cell r="F12">
            <v>3038</v>
          </cell>
          <cell r="G12">
            <v>2888</v>
          </cell>
          <cell r="H12">
            <v>2851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1749</v>
          </cell>
        </row>
        <row r="14">
          <cell r="C14">
            <v>1412</v>
          </cell>
          <cell r="D14">
            <v>1752</v>
          </cell>
          <cell r="E14">
            <v>2247</v>
          </cell>
          <cell r="F14">
            <v>2334</v>
          </cell>
          <cell r="G14">
            <v>2722</v>
          </cell>
          <cell r="H14">
            <v>2842</v>
          </cell>
        </row>
        <row r="15">
          <cell r="C15">
            <v>1481</v>
          </cell>
          <cell r="D15">
            <v>2008</v>
          </cell>
          <cell r="E15">
            <v>2403</v>
          </cell>
          <cell r="F15">
            <v>2157</v>
          </cell>
          <cell r="G15">
            <v>2456</v>
          </cell>
          <cell r="H15">
            <v>2723</v>
          </cell>
        </row>
        <row r="16">
          <cell r="C16">
            <v>2817</v>
          </cell>
          <cell r="D16">
            <v>2874</v>
          </cell>
          <cell r="E16">
            <v>2847</v>
          </cell>
          <cell r="F16">
            <v>2668</v>
          </cell>
          <cell r="G16">
            <v>3871</v>
          </cell>
          <cell r="H16">
            <v>3463</v>
          </cell>
        </row>
        <row r="17">
          <cell r="C17">
            <v>0</v>
          </cell>
          <cell r="D17">
            <v>81</v>
          </cell>
          <cell r="E17">
            <v>0</v>
          </cell>
          <cell r="F17">
            <v>0</v>
          </cell>
          <cell r="G17">
            <v>355</v>
          </cell>
          <cell r="H17">
            <v>552</v>
          </cell>
        </row>
        <row r="18">
          <cell r="C18">
            <v>1555</v>
          </cell>
          <cell r="D18">
            <v>2099</v>
          </cell>
          <cell r="E18">
            <v>831</v>
          </cell>
          <cell r="F18">
            <v>1788</v>
          </cell>
          <cell r="G18">
            <v>1950</v>
          </cell>
          <cell r="H18">
            <v>1830</v>
          </cell>
        </row>
        <row r="19">
          <cell r="C19">
            <v>5101</v>
          </cell>
          <cell r="D19">
            <v>7546</v>
          </cell>
          <cell r="E19">
            <v>3963</v>
          </cell>
          <cell r="F19">
            <v>4479</v>
          </cell>
          <cell r="G19">
            <v>5363</v>
          </cell>
          <cell r="H19">
            <v>3742</v>
          </cell>
        </row>
        <row r="20">
          <cell r="C20">
            <v>1886</v>
          </cell>
          <cell r="D20">
            <v>1373</v>
          </cell>
          <cell r="E20">
            <v>552</v>
          </cell>
          <cell r="F20">
            <v>862</v>
          </cell>
          <cell r="G20">
            <v>789</v>
          </cell>
          <cell r="H20">
            <v>441</v>
          </cell>
        </row>
        <row r="21">
          <cell r="C21">
            <v>3933</v>
          </cell>
          <cell r="D21">
            <v>5000</v>
          </cell>
          <cell r="E21">
            <v>2278</v>
          </cell>
          <cell r="F21">
            <v>3449</v>
          </cell>
          <cell r="G21">
            <v>3054</v>
          </cell>
          <cell r="H21">
            <v>2427</v>
          </cell>
        </row>
        <row r="22">
          <cell r="C22">
            <v>11726</v>
          </cell>
          <cell r="D22">
            <v>9366</v>
          </cell>
          <cell r="E22">
            <v>12870</v>
          </cell>
          <cell r="F22">
            <v>11393</v>
          </cell>
          <cell r="G22">
            <v>14966</v>
          </cell>
          <cell r="H22">
            <v>13690</v>
          </cell>
        </row>
        <row r="23">
          <cell r="C23">
            <v>969</v>
          </cell>
          <cell r="D23">
            <v>734</v>
          </cell>
          <cell r="E23">
            <v>1036</v>
          </cell>
          <cell r="F23">
            <v>821</v>
          </cell>
          <cell r="G23">
            <v>1009</v>
          </cell>
          <cell r="H23">
            <v>1036</v>
          </cell>
        </row>
        <row r="24">
          <cell r="C24">
            <v>7193</v>
          </cell>
          <cell r="D24">
            <v>5917</v>
          </cell>
          <cell r="E24">
            <v>8791</v>
          </cell>
          <cell r="F24">
            <v>7347</v>
          </cell>
          <cell r="G24">
            <v>9001</v>
          </cell>
          <cell r="H24">
            <v>8477</v>
          </cell>
        </row>
        <row r="25">
          <cell r="C25">
            <v>3229</v>
          </cell>
          <cell r="D25">
            <v>2617</v>
          </cell>
          <cell r="E25">
            <v>4051</v>
          </cell>
          <cell r="F25">
            <v>3752</v>
          </cell>
          <cell r="G25">
            <v>4908</v>
          </cell>
          <cell r="H25">
            <v>5729</v>
          </cell>
        </row>
        <row r="26">
          <cell r="C26">
            <v>5581</v>
          </cell>
          <cell r="D26">
            <v>4968</v>
          </cell>
          <cell r="E26">
            <v>6027</v>
          </cell>
          <cell r="F26">
            <v>5123</v>
          </cell>
          <cell r="G26">
            <v>5731</v>
          </cell>
          <cell r="H26">
            <v>5440</v>
          </cell>
        </row>
        <row r="27">
          <cell r="C27">
            <v>6525</v>
          </cell>
          <cell r="D27">
            <v>7712</v>
          </cell>
          <cell r="E27">
            <v>6335</v>
          </cell>
          <cell r="F27">
            <v>12478</v>
          </cell>
          <cell r="G27">
            <v>12445</v>
          </cell>
          <cell r="H27">
            <v>14609</v>
          </cell>
        </row>
        <row r="28">
          <cell r="C28">
            <v>5935</v>
          </cell>
          <cell r="D28">
            <v>3853</v>
          </cell>
          <cell r="E28">
            <v>5879</v>
          </cell>
          <cell r="F28">
            <v>3370</v>
          </cell>
          <cell r="G28">
            <v>4984</v>
          </cell>
          <cell r="H28">
            <v>4215</v>
          </cell>
        </row>
        <row r="29">
          <cell r="C29">
            <v>13144</v>
          </cell>
          <cell r="D29">
            <v>7730</v>
          </cell>
          <cell r="E29">
            <v>13096</v>
          </cell>
          <cell r="F29">
            <v>7567</v>
          </cell>
          <cell r="G29">
            <v>11238</v>
          </cell>
          <cell r="H29">
            <v>9606</v>
          </cell>
        </row>
        <row r="30">
          <cell r="C30">
            <v>43743</v>
          </cell>
          <cell r="D30">
            <v>28737</v>
          </cell>
          <cell r="E30">
            <v>42298</v>
          </cell>
          <cell r="F30">
            <v>26636</v>
          </cell>
          <cell r="G30">
            <v>34334</v>
          </cell>
          <cell r="H30">
            <v>31993</v>
          </cell>
        </row>
        <row r="31">
          <cell r="C31">
            <v>37542</v>
          </cell>
          <cell r="D31">
            <v>28960</v>
          </cell>
          <cell r="E31">
            <v>35629</v>
          </cell>
          <cell r="F31">
            <v>29615</v>
          </cell>
          <cell r="G31">
            <v>37152</v>
          </cell>
          <cell r="H31">
            <v>32682</v>
          </cell>
        </row>
        <row r="32">
          <cell r="C32">
            <v>32383</v>
          </cell>
          <cell r="D32">
            <v>27935</v>
          </cell>
          <cell r="E32">
            <v>33749</v>
          </cell>
          <cell r="F32">
            <v>27756</v>
          </cell>
          <cell r="G32">
            <v>36676</v>
          </cell>
          <cell r="H32">
            <v>31430</v>
          </cell>
        </row>
        <row r="33">
          <cell r="C33">
            <v>13834</v>
          </cell>
          <cell r="D33">
            <v>10593</v>
          </cell>
          <cell r="E33">
            <v>14445</v>
          </cell>
          <cell r="F33">
            <v>11693</v>
          </cell>
          <cell r="G33">
            <v>14900</v>
          </cell>
          <cell r="H33">
            <v>13237</v>
          </cell>
        </row>
        <row r="34">
          <cell r="C34">
            <v>21708</v>
          </cell>
          <cell r="D34">
            <v>12029</v>
          </cell>
          <cell r="E34">
            <v>17291</v>
          </cell>
          <cell r="F34">
            <v>10407</v>
          </cell>
          <cell r="G34">
            <v>14655</v>
          </cell>
          <cell r="H34">
            <v>14033</v>
          </cell>
        </row>
        <row r="35">
          <cell r="C35">
            <v>8906</v>
          </cell>
          <cell r="D35">
            <v>5684</v>
          </cell>
          <cell r="E35">
            <v>8025</v>
          </cell>
          <cell r="F35">
            <v>4676</v>
          </cell>
          <cell r="G35">
            <v>6831</v>
          </cell>
          <cell r="H35">
            <v>6620</v>
          </cell>
        </row>
        <row r="36">
          <cell r="C36">
            <v>8083</v>
          </cell>
          <cell r="D36">
            <v>6730</v>
          </cell>
          <cell r="E36">
            <v>8271</v>
          </cell>
          <cell r="F36">
            <v>6305</v>
          </cell>
          <cell r="G36">
            <v>7566</v>
          </cell>
          <cell r="H36">
            <v>6156</v>
          </cell>
        </row>
        <row r="37">
          <cell r="C37">
            <v>5214</v>
          </cell>
          <cell r="D37">
            <v>6382</v>
          </cell>
          <cell r="E37">
            <v>7029</v>
          </cell>
          <cell r="F37">
            <v>7260</v>
          </cell>
          <cell r="G37">
            <v>7059</v>
          </cell>
          <cell r="H37">
            <v>7333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Source Data"/>
      <sheetName val="Machine Analysis"/>
      <sheetName val="Facility Analysis"/>
      <sheetName val="Process-wise Monthly"/>
    </sheetNames>
    <sheetDataSet>
      <sheetData sheetId="0"/>
      <sheetData sheetId="1">
        <row r="43">
          <cell r="C43">
            <v>118085</v>
          </cell>
          <cell r="D43">
            <v>123184</v>
          </cell>
          <cell r="E43">
            <v>150132</v>
          </cell>
          <cell r="F43">
            <v>159101</v>
          </cell>
          <cell r="G43">
            <v>165042</v>
          </cell>
          <cell r="H43">
            <v>156856</v>
          </cell>
        </row>
        <row r="44">
          <cell r="C44">
            <v>13866</v>
          </cell>
          <cell r="D44">
            <v>10787</v>
          </cell>
          <cell r="E44">
            <v>10769</v>
          </cell>
          <cell r="F44">
            <v>14904</v>
          </cell>
          <cell r="G44">
            <v>17952</v>
          </cell>
          <cell r="H44">
            <v>17238</v>
          </cell>
        </row>
        <row r="45">
          <cell r="C45">
            <v>18866</v>
          </cell>
          <cell r="D45">
            <v>21237</v>
          </cell>
          <cell r="E45">
            <v>23498</v>
          </cell>
          <cell r="F45">
            <v>505</v>
          </cell>
          <cell r="G45">
            <v>0</v>
          </cell>
          <cell r="H45">
            <v>0</v>
          </cell>
        </row>
        <row r="46">
          <cell r="C46">
            <v>12980</v>
          </cell>
          <cell r="D46">
            <v>15183</v>
          </cell>
          <cell r="E46">
            <v>11291</v>
          </cell>
          <cell r="F46">
            <v>14401</v>
          </cell>
          <cell r="G46">
            <v>19505</v>
          </cell>
          <cell r="H46">
            <v>17059</v>
          </cell>
        </row>
        <row r="47">
          <cell r="C47">
            <v>17</v>
          </cell>
          <cell r="D47">
            <v>14</v>
          </cell>
          <cell r="E47">
            <v>15</v>
          </cell>
          <cell r="F47">
            <v>20</v>
          </cell>
          <cell r="G47">
            <v>20</v>
          </cell>
          <cell r="H47">
            <v>24</v>
          </cell>
        </row>
        <row r="48">
          <cell r="C48">
            <v>948</v>
          </cell>
          <cell r="D48">
            <v>877</v>
          </cell>
          <cell r="E48">
            <v>969</v>
          </cell>
          <cell r="F48">
            <v>1118</v>
          </cell>
          <cell r="G48">
            <v>1221</v>
          </cell>
          <cell r="H48">
            <v>1115</v>
          </cell>
        </row>
        <row r="49">
          <cell r="C49">
            <v>5908</v>
          </cell>
          <cell r="D49">
            <v>6377</v>
          </cell>
          <cell r="E49">
            <v>7284</v>
          </cell>
          <cell r="F49">
            <v>7438</v>
          </cell>
          <cell r="G49">
            <v>7233</v>
          </cell>
          <cell r="H49">
            <v>7639</v>
          </cell>
        </row>
        <row r="50">
          <cell r="C50">
            <v>159</v>
          </cell>
          <cell r="D50">
            <v>129</v>
          </cell>
          <cell r="E50">
            <v>178</v>
          </cell>
          <cell r="F50">
            <v>159</v>
          </cell>
          <cell r="G50">
            <v>205</v>
          </cell>
          <cell r="H50">
            <v>205</v>
          </cell>
        </row>
        <row r="51">
          <cell r="C51">
            <v>3998</v>
          </cell>
          <cell r="D51">
            <v>3098</v>
          </cell>
          <cell r="E51">
            <v>4409</v>
          </cell>
          <cell r="F51">
            <v>4063</v>
          </cell>
          <cell r="G51">
            <v>4891</v>
          </cell>
          <cell r="H51">
            <v>5448</v>
          </cell>
        </row>
        <row r="52">
          <cell r="C52">
            <v>7806</v>
          </cell>
          <cell r="D52">
            <v>6417</v>
          </cell>
          <cell r="E52">
            <v>10858</v>
          </cell>
          <cell r="F52">
            <v>9932</v>
          </cell>
          <cell r="G52">
            <v>8114</v>
          </cell>
          <cell r="H52">
            <v>13304</v>
          </cell>
        </row>
        <row r="53">
          <cell r="C53">
            <v>9239</v>
          </cell>
          <cell r="D53">
            <v>11769</v>
          </cell>
          <cell r="E53">
            <v>14172</v>
          </cell>
          <cell r="F53">
            <v>12641</v>
          </cell>
          <cell r="G53">
            <v>16058</v>
          </cell>
          <cell r="H53">
            <v>16628</v>
          </cell>
        </row>
        <row r="54">
          <cell r="C54">
            <v>6108</v>
          </cell>
          <cell r="D54">
            <v>6163</v>
          </cell>
          <cell r="E54">
            <v>6430</v>
          </cell>
          <cell r="F54">
            <v>6123</v>
          </cell>
          <cell r="G54">
            <v>8069</v>
          </cell>
          <cell r="H54">
            <v>8824</v>
          </cell>
        </row>
        <row r="55">
          <cell r="C55">
            <v>423</v>
          </cell>
          <cell r="D55">
            <v>649</v>
          </cell>
          <cell r="E55">
            <v>230</v>
          </cell>
          <cell r="F55">
            <v>475</v>
          </cell>
          <cell r="G55">
            <v>418</v>
          </cell>
          <cell r="H55">
            <v>408</v>
          </cell>
        </row>
        <row r="56">
          <cell r="C56">
            <v>4285</v>
          </cell>
          <cell r="D56">
            <v>6046</v>
          </cell>
          <cell r="E56">
            <v>2374</v>
          </cell>
          <cell r="F56">
            <v>4546</v>
          </cell>
          <cell r="G56">
            <v>5124</v>
          </cell>
          <cell r="H56">
            <v>4714</v>
          </cell>
        </row>
        <row r="57">
          <cell r="C57">
            <v>2183</v>
          </cell>
          <cell r="D57">
            <v>3260</v>
          </cell>
          <cell r="E57">
            <v>1297</v>
          </cell>
          <cell r="F57">
            <v>2289</v>
          </cell>
          <cell r="G57">
            <v>2421</v>
          </cell>
          <cell r="H57">
            <v>2343</v>
          </cell>
        </row>
        <row r="58">
          <cell r="C58">
            <v>9112</v>
          </cell>
          <cell r="D58">
            <v>12061</v>
          </cell>
          <cell r="E58">
            <v>5667</v>
          </cell>
          <cell r="F58">
            <v>10368</v>
          </cell>
          <cell r="G58">
            <v>12047</v>
          </cell>
          <cell r="H58">
            <v>11755</v>
          </cell>
        </row>
        <row r="59">
          <cell r="C59">
            <v>5558</v>
          </cell>
          <cell r="D59">
            <v>9000</v>
          </cell>
          <cell r="E59">
            <v>3463</v>
          </cell>
          <cell r="F59">
            <v>7160</v>
          </cell>
          <cell r="G59">
            <v>7644</v>
          </cell>
          <cell r="H59">
            <v>7303</v>
          </cell>
        </row>
        <row r="60">
          <cell r="C60">
            <v>598</v>
          </cell>
          <cell r="D60">
            <v>1319</v>
          </cell>
          <cell r="E60">
            <v>636</v>
          </cell>
          <cell r="F60">
            <v>1157</v>
          </cell>
          <cell r="G60">
            <v>1242</v>
          </cell>
          <cell r="H60">
            <v>1074</v>
          </cell>
        </row>
        <row r="61">
          <cell r="C61">
            <v>0</v>
          </cell>
          <cell r="D61">
            <v>1276</v>
          </cell>
          <cell r="E61">
            <v>729</v>
          </cell>
          <cell r="F61">
            <v>11522</v>
          </cell>
          <cell r="G61">
            <v>16298</v>
          </cell>
          <cell r="H61">
            <v>14388</v>
          </cell>
        </row>
        <row r="62">
          <cell r="C62">
            <v>6501</v>
          </cell>
          <cell r="D62">
            <v>11156</v>
          </cell>
          <cell r="E62">
            <v>4705</v>
          </cell>
          <cell r="F62">
            <v>9704</v>
          </cell>
          <cell r="G62">
            <v>9453</v>
          </cell>
          <cell r="H62">
            <v>8346</v>
          </cell>
        </row>
        <row r="63">
          <cell r="C63">
            <v>45808</v>
          </cell>
          <cell r="D63">
            <v>84844</v>
          </cell>
          <cell r="E63">
            <v>31745</v>
          </cell>
          <cell r="F63">
            <v>67839</v>
          </cell>
          <cell r="G63">
            <v>59732</v>
          </cell>
          <cell r="H63">
            <v>49798</v>
          </cell>
        </row>
        <row r="64">
          <cell r="C64">
            <v>5642</v>
          </cell>
          <cell r="D64">
            <v>6983</v>
          </cell>
          <cell r="E64">
            <v>3368</v>
          </cell>
          <cell r="F64">
            <v>5528</v>
          </cell>
          <cell r="G64">
            <v>6080</v>
          </cell>
          <cell r="H64">
            <v>5823</v>
          </cell>
        </row>
        <row r="65">
          <cell r="C65">
            <v>1492</v>
          </cell>
          <cell r="D65">
            <v>2387</v>
          </cell>
          <cell r="E65">
            <v>723</v>
          </cell>
          <cell r="F65">
            <v>1239</v>
          </cell>
          <cell r="G65">
            <v>1221</v>
          </cell>
          <cell r="H65">
            <v>1162</v>
          </cell>
        </row>
        <row r="66">
          <cell r="C66">
            <v>46177</v>
          </cell>
          <cell r="D66">
            <v>52908</v>
          </cell>
          <cell r="E66">
            <v>26516</v>
          </cell>
          <cell r="F66">
            <v>39408</v>
          </cell>
          <cell r="G66">
            <v>49084</v>
          </cell>
          <cell r="H66">
            <v>45873</v>
          </cell>
        </row>
        <row r="67">
          <cell r="C67">
            <v>1592</v>
          </cell>
          <cell r="D67">
            <v>2049</v>
          </cell>
          <cell r="E67">
            <v>949</v>
          </cell>
          <cell r="F67">
            <v>1583</v>
          </cell>
          <cell r="G67">
            <v>1478</v>
          </cell>
          <cell r="H67">
            <v>1301</v>
          </cell>
        </row>
        <row r="68">
          <cell r="C68">
            <v>14116</v>
          </cell>
          <cell r="D68">
            <v>11473</v>
          </cell>
          <cell r="E68">
            <v>15156</v>
          </cell>
          <cell r="F68">
            <v>16010</v>
          </cell>
          <cell r="G68">
            <v>19272</v>
          </cell>
          <cell r="H68">
            <v>17777</v>
          </cell>
        </row>
        <row r="69">
          <cell r="C69">
            <v>4498</v>
          </cell>
          <cell r="D69">
            <v>5008</v>
          </cell>
          <cell r="E69">
            <v>5893</v>
          </cell>
          <cell r="F69">
            <v>6272</v>
          </cell>
          <cell r="G69">
            <v>5836</v>
          </cell>
          <cell r="H69">
            <v>5644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showGridLines="0" topLeftCell="A6" zoomScaleNormal="100" workbookViewId="0">
      <selection activeCell="A6" sqref="A6:C6"/>
    </sheetView>
  </sheetViews>
  <sheetFormatPr defaultColWidth="8.6640625" defaultRowHeight="14.4" x14ac:dyDescent="0.3"/>
  <cols>
    <col min="1" max="1" width="15" customWidth="1"/>
    <col min="2" max="5" width="13" customWidth="1"/>
    <col min="6" max="6" width="24" customWidth="1"/>
    <col min="7" max="8" width="13" customWidth="1"/>
    <col min="9" max="9" width="4" customWidth="1"/>
  </cols>
  <sheetData>
    <row r="1" spans="1:10" ht="22.8" x14ac:dyDescent="0.4">
      <c r="A1" s="1" t="s">
        <v>0</v>
      </c>
    </row>
    <row r="2" spans="1:10" x14ac:dyDescent="0.3">
      <c r="A2" s="2"/>
    </row>
    <row r="4" spans="1:10" ht="15.6" x14ac:dyDescent="0.3">
      <c r="A4" s="3" t="s">
        <v>1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3">
      <c r="A5" s="62" t="s">
        <v>2</v>
      </c>
      <c r="B5" s="62"/>
      <c r="C5" s="62"/>
      <c r="D5" s="62" t="s">
        <v>3</v>
      </c>
      <c r="E5" s="62"/>
      <c r="F5" s="62"/>
      <c r="G5" s="62" t="s">
        <v>4</v>
      </c>
      <c r="H5" s="62"/>
      <c r="I5" s="62"/>
    </row>
    <row r="6" spans="1:10" ht="19.2" x14ac:dyDescent="0.3">
      <c r="A6" s="64">
        <f>SUM('Source Data'!O38,'Source Data'!O70)</f>
        <v>3892572</v>
      </c>
      <c r="B6" s="64"/>
      <c r="C6" s="64"/>
      <c r="D6" s="64">
        <f>'Source Data'!O38</f>
        <v>1504283</v>
      </c>
      <c r="E6" s="64"/>
      <c r="F6" s="64"/>
      <c r="G6" s="64">
        <f>'Source Data'!O70</f>
        <v>2388289</v>
      </c>
      <c r="H6" s="64"/>
      <c r="I6" s="64"/>
    </row>
    <row r="8" spans="1:10" x14ac:dyDescent="0.3">
      <c r="A8" s="62" t="s">
        <v>5</v>
      </c>
      <c r="B8" s="62"/>
      <c r="C8" s="62"/>
      <c r="D8" s="62" t="s">
        <v>6</v>
      </c>
      <c r="E8" s="62"/>
      <c r="F8" s="62"/>
      <c r="G8" s="62" t="s">
        <v>7</v>
      </c>
      <c r="H8" s="62"/>
      <c r="I8" s="62"/>
    </row>
    <row r="9" spans="1:10" ht="19.2" x14ac:dyDescent="0.3">
      <c r="A9" s="63">
        <f>'Source Data'!O38/SUM('Source Data'!O38,'Source Data'!O70)</f>
        <v>0.38644962764979041</v>
      </c>
      <c r="B9" s="63"/>
      <c r="C9" s="63"/>
      <c r="D9" s="63">
        <f>'Source Data'!O70/SUM('Source Data'!O38,'Source Data'!O70)</f>
        <v>0.61355037235020959</v>
      </c>
      <c r="E9" s="63"/>
      <c r="F9" s="63"/>
      <c r="G9" s="64">
        <f>SUM('Source Data'!H38,'Source Data'!H70)</f>
        <v>672867</v>
      </c>
      <c r="H9" s="64"/>
      <c r="I9" s="64"/>
    </row>
    <row r="12" spans="1:10" ht="15.6" x14ac:dyDescent="0.3">
      <c r="A12" s="3" t="s">
        <v>8</v>
      </c>
      <c r="B12" s="4"/>
      <c r="C12" s="4"/>
      <c r="D12" s="4"/>
      <c r="E12" s="4"/>
      <c r="F12" s="3" t="s">
        <v>9</v>
      </c>
      <c r="G12" s="4"/>
      <c r="H12" s="4"/>
      <c r="I12" s="4"/>
    </row>
    <row r="13" spans="1:10" x14ac:dyDescent="0.3">
      <c r="A13" s="5" t="s">
        <v>10</v>
      </c>
      <c r="B13" s="5" t="s">
        <v>11</v>
      </c>
      <c r="C13" s="5" t="s">
        <v>12</v>
      </c>
      <c r="D13" s="5" t="s">
        <v>13</v>
      </c>
      <c r="F13" s="5" t="s">
        <v>14</v>
      </c>
      <c r="G13" s="5" t="s">
        <v>15</v>
      </c>
      <c r="H13" s="5" t="s">
        <v>16</v>
      </c>
    </row>
    <row r="14" spans="1:10" ht="27.6" x14ac:dyDescent="0.3">
      <c r="A14" s="6" t="s">
        <v>17</v>
      </c>
      <c r="B14" s="7">
        <f>'Source Data'!C38</f>
        <v>272697</v>
      </c>
      <c r="C14" s="7">
        <f>'Source Data'!C70</f>
        <v>345965</v>
      </c>
      <c r="D14" s="7">
        <f t="shared" ref="D14:D25" si="0">B14+C14</f>
        <v>618662</v>
      </c>
      <c r="F14" s="8" t="s">
        <v>18</v>
      </c>
      <c r="G14" s="7">
        <f>SUMIFS('Source Data'!$O$43:$O$69,'Source Data'!$B$43:$B$69,$F14)</f>
        <v>1268597</v>
      </c>
      <c r="H14" s="9">
        <f t="shared" ref="H14:H21" si="1">IFERROR(G14/$G$22,0)</f>
        <v>0.53117399108734331</v>
      </c>
    </row>
    <row r="15" spans="1:10" x14ac:dyDescent="0.3">
      <c r="A15" s="10" t="s">
        <v>19</v>
      </c>
      <c r="B15" s="11">
        <f>'Source Data'!D38</f>
        <v>217880</v>
      </c>
      <c r="C15" s="11">
        <f>'Source Data'!D70</f>
        <v>415654</v>
      </c>
      <c r="D15" s="11">
        <f t="shared" si="0"/>
        <v>633534</v>
      </c>
      <c r="F15" s="12" t="s">
        <v>20</v>
      </c>
      <c r="G15" s="11">
        <f>SUMIFS('Source Data'!$O$43:$O$69,'Source Data'!$B$43:$B$69,$F15)</f>
        <v>291805</v>
      </c>
      <c r="H15" s="13">
        <f t="shared" si="1"/>
        <v>0.12218161202434044</v>
      </c>
    </row>
    <row r="16" spans="1:10" x14ac:dyDescent="0.3">
      <c r="A16" s="6" t="s">
        <v>21</v>
      </c>
      <c r="B16" s="7">
        <f>'Source Data'!E38</f>
        <v>273042</v>
      </c>
      <c r="C16" s="7">
        <f>'Source Data'!E70</f>
        <v>343456</v>
      </c>
      <c r="D16" s="7">
        <f t="shared" si="0"/>
        <v>616498</v>
      </c>
      <c r="F16" s="8" t="s">
        <v>22</v>
      </c>
      <c r="G16" s="7">
        <f>SUMIFS('Source Data'!$O$43:$O$69,'Source Data'!$B$43:$B$69,$F16)</f>
        <v>210632</v>
      </c>
      <c r="H16" s="9">
        <f t="shared" si="1"/>
        <v>8.8193681752920181E-2</v>
      </c>
    </row>
    <row r="17" spans="1:8" x14ac:dyDescent="0.3">
      <c r="A17" s="10" t="s">
        <v>23</v>
      </c>
      <c r="B17" s="11">
        <f>'Source Data'!F38</f>
        <v>215321</v>
      </c>
      <c r="C17" s="11">
        <f>'Source Data'!F70</f>
        <v>415505</v>
      </c>
      <c r="D17" s="11">
        <f t="shared" si="0"/>
        <v>630826</v>
      </c>
      <c r="F17" s="12" t="s">
        <v>24</v>
      </c>
      <c r="G17" s="11">
        <f>SUMIFS('Source Data'!$O$43:$O$69,'Source Data'!$B$43:$B$69,$F17)</f>
        <v>66261</v>
      </c>
      <c r="H17" s="13">
        <f t="shared" si="1"/>
        <v>2.7744129793337406E-2</v>
      </c>
    </row>
    <row r="18" spans="1:8" x14ac:dyDescent="0.3">
      <c r="A18" s="6" t="s">
        <v>25</v>
      </c>
      <c r="B18" s="7">
        <f>'Source Data'!G38</f>
        <v>274525</v>
      </c>
      <c r="C18" s="7">
        <f>'Source Data'!G70</f>
        <v>445660</v>
      </c>
      <c r="D18" s="7">
        <f t="shared" si="0"/>
        <v>720185</v>
      </c>
      <c r="F18" s="8" t="s">
        <v>26</v>
      </c>
      <c r="G18" s="7">
        <f>SUMIFS('Source Data'!$O$43:$O$69,'Source Data'!$B$43:$B$69,$F18)</f>
        <v>26942</v>
      </c>
      <c r="H18" s="9">
        <f t="shared" si="1"/>
        <v>1.1280879324068403E-2</v>
      </c>
    </row>
    <row r="19" spans="1:8" x14ac:dyDescent="0.3">
      <c r="A19" s="10" t="s">
        <v>27</v>
      </c>
      <c r="B19" s="11">
        <f>'Source Data'!H38</f>
        <v>250818</v>
      </c>
      <c r="C19" s="11">
        <f>'Source Data'!H70</f>
        <v>422049</v>
      </c>
      <c r="D19" s="11">
        <f t="shared" si="0"/>
        <v>672867</v>
      </c>
      <c r="F19" s="12" t="s">
        <v>28</v>
      </c>
      <c r="G19" s="11">
        <f>SUMIFS('Source Data'!$O$43:$O$69,'Source Data'!$B$43:$B$69,$F19)</f>
        <v>162058</v>
      </c>
      <c r="H19" s="13">
        <f t="shared" si="1"/>
        <v>6.7855272121589968E-2</v>
      </c>
    </row>
    <row r="20" spans="1:8" x14ac:dyDescent="0.3">
      <c r="A20" s="6" t="s">
        <v>29</v>
      </c>
      <c r="B20" s="7">
        <f>'Source Data'!I38</f>
        <v>0</v>
      </c>
      <c r="C20" s="7">
        <f>'Source Data'!I70</f>
        <v>0</v>
      </c>
      <c r="D20" s="7">
        <f t="shared" si="0"/>
        <v>0</v>
      </c>
      <c r="F20" s="8" t="s">
        <v>30</v>
      </c>
      <c r="G20" s="7">
        <f>SUMIFS('Source Data'!$O$43:$O$69,'Source Data'!$B$43:$B$69,$F20)</f>
        <v>93804</v>
      </c>
      <c r="H20" s="9">
        <f t="shared" si="1"/>
        <v>3.9276653704807082E-2</v>
      </c>
    </row>
    <row r="21" spans="1:8" x14ac:dyDescent="0.3">
      <c r="A21" s="10" t="s">
        <v>31</v>
      </c>
      <c r="B21" s="11">
        <f>'Source Data'!J38</f>
        <v>0</v>
      </c>
      <c r="C21" s="11">
        <f>'Source Data'!J70</f>
        <v>0</v>
      </c>
      <c r="D21" s="11">
        <f t="shared" si="0"/>
        <v>0</v>
      </c>
      <c r="F21" s="12" t="s">
        <v>32</v>
      </c>
      <c r="G21" s="11">
        <f>SUMIFS('Source Data'!$O$43:$O$69,'Source Data'!$B$43:$B$69,$F21)</f>
        <v>268190</v>
      </c>
      <c r="H21" s="13">
        <f t="shared" si="1"/>
        <v>0.11229378019159322</v>
      </c>
    </row>
    <row r="22" spans="1:8" x14ac:dyDescent="0.3">
      <c r="A22" s="6" t="s">
        <v>33</v>
      </c>
      <c r="B22" s="7">
        <f>'Source Data'!K38</f>
        <v>0</v>
      </c>
      <c r="C22" s="7">
        <f>'Source Data'!K70</f>
        <v>0</v>
      </c>
      <c r="D22" s="7">
        <f t="shared" si="0"/>
        <v>0</v>
      </c>
      <c r="F22" s="14" t="s">
        <v>13</v>
      </c>
      <c r="G22" s="15">
        <f>SUM(G14:G21)</f>
        <v>2388289</v>
      </c>
      <c r="H22" s="16">
        <v>1</v>
      </c>
    </row>
    <row r="23" spans="1:8" x14ac:dyDescent="0.3">
      <c r="A23" s="10" t="s">
        <v>34</v>
      </c>
      <c r="B23" s="11">
        <f>'Source Data'!L38</f>
        <v>0</v>
      </c>
      <c r="C23" s="11">
        <f>'Source Data'!L70</f>
        <v>0</v>
      </c>
      <c r="D23" s="11">
        <f t="shared" si="0"/>
        <v>0</v>
      </c>
    </row>
    <row r="24" spans="1:8" x14ac:dyDescent="0.3">
      <c r="A24" s="6" t="s">
        <v>35</v>
      </c>
      <c r="B24" s="7">
        <f>'Source Data'!M38</f>
        <v>0</v>
      </c>
      <c r="C24" s="7">
        <f>'Source Data'!M70</f>
        <v>0</v>
      </c>
      <c r="D24" s="7">
        <f t="shared" si="0"/>
        <v>0</v>
      </c>
    </row>
    <row r="25" spans="1:8" x14ac:dyDescent="0.3">
      <c r="A25" s="10" t="s">
        <v>36</v>
      </c>
      <c r="B25" s="11">
        <f>'Source Data'!N38</f>
        <v>0</v>
      </c>
      <c r="C25" s="11">
        <f>'Source Data'!N70</f>
        <v>0</v>
      </c>
      <c r="D25" s="11">
        <f t="shared" si="0"/>
        <v>0</v>
      </c>
    </row>
    <row r="26" spans="1:8" x14ac:dyDescent="0.3">
      <c r="A26" s="14" t="s">
        <v>13</v>
      </c>
      <c r="B26" s="15">
        <f>SUM(B14:B25)</f>
        <v>1504283</v>
      </c>
      <c r="C26" s="15">
        <f>SUM(C14:C25)</f>
        <v>2388289</v>
      </c>
      <c r="D26" s="15">
        <f>SUM(D14:D25)</f>
        <v>3892572</v>
      </c>
    </row>
    <row r="29" spans="1:8" ht="15.6" x14ac:dyDescent="0.3">
      <c r="A29" s="3" t="s">
        <v>37</v>
      </c>
      <c r="B29" s="4"/>
      <c r="C29" s="4"/>
      <c r="D29" s="4"/>
      <c r="E29" s="4"/>
      <c r="F29" s="4"/>
    </row>
    <row r="30" spans="1:8" x14ac:dyDescent="0.3">
      <c r="A30" s="5" t="s">
        <v>10</v>
      </c>
      <c r="B30" s="5" t="s">
        <v>38</v>
      </c>
      <c r="C30" s="5" t="s">
        <v>39</v>
      </c>
      <c r="D30" s="5" t="s">
        <v>40</v>
      </c>
      <c r="E30" s="5" t="s">
        <v>41</v>
      </c>
      <c r="F30" s="5" t="s">
        <v>42</v>
      </c>
    </row>
    <row r="31" spans="1:8" x14ac:dyDescent="0.3">
      <c r="A31" s="6" t="s">
        <v>17</v>
      </c>
      <c r="B31" s="17">
        <v>3917</v>
      </c>
      <c r="C31" s="7">
        <v>643059</v>
      </c>
      <c r="D31" s="17">
        <f>IFERROR(C31/B31,0)</f>
        <v>164.17130456982383</v>
      </c>
      <c r="E31" s="18">
        <v>12</v>
      </c>
      <c r="F31" s="17">
        <f>IFERROR(C31/(B31*10.7639),0)</f>
        <v>15.252028035361148</v>
      </c>
    </row>
    <row r="32" spans="1:8" x14ac:dyDescent="0.3">
      <c r="A32" s="10" t="s">
        <v>19</v>
      </c>
      <c r="B32" s="19">
        <v>4509.2</v>
      </c>
      <c r="C32" s="11">
        <v>574587</v>
      </c>
      <c r="D32" s="19">
        <f>IFERROR(C32/B32,0)</f>
        <v>127.4254856737337</v>
      </c>
      <c r="E32" s="20">
        <v>12</v>
      </c>
      <c r="F32" s="19">
        <f>IFERROR(C32/(B32*10.7639),0)</f>
        <v>11.838226448938926</v>
      </c>
    </row>
    <row r="33" spans="1:6" x14ac:dyDescent="0.3">
      <c r="A33" s="6" t="s">
        <v>21</v>
      </c>
      <c r="B33" s="17">
        <v>6361.4</v>
      </c>
      <c r="C33" s="7">
        <v>710322</v>
      </c>
      <c r="D33" s="17">
        <f>IFERROR(C33/B33,0)</f>
        <v>111.66126953186406</v>
      </c>
      <c r="E33" s="18">
        <v>12</v>
      </c>
      <c r="F33" s="17">
        <f>IFERROR(C33/(B33*10.7639),0)</f>
        <v>10.373681428837509</v>
      </c>
    </row>
    <row r="34" spans="1:6" x14ac:dyDescent="0.3">
      <c r="A34" s="10" t="s">
        <v>23</v>
      </c>
      <c r="B34" s="19">
        <v>5379.2</v>
      </c>
      <c r="C34" s="11">
        <v>628979</v>
      </c>
      <c r="D34" s="19">
        <f>IFERROR(C34/B34,0)</f>
        <v>116.92798185603807</v>
      </c>
      <c r="E34" s="20">
        <v>11</v>
      </c>
      <c r="F34" s="19">
        <f>IFERROR(C34/(B34*10.7639),0)</f>
        <v>10.862975488070131</v>
      </c>
    </row>
    <row r="35" spans="1:6" x14ac:dyDescent="0.3">
      <c r="A35" s="6" t="s">
        <v>25</v>
      </c>
      <c r="B35" s="17">
        <v>6639.3</v>
      </c>
      <c r="C35" s="7">
        <v>737707</v>
      </c>
      <c r="D35" s="17">
        <f>IFERROR(C35/B35,0)</f>
        <v>111.11216543912762</v>
      </c>
      <c r="E35" s="18">
        <v>11</v>
      </c>
      <c r="F35" s="17">
        <f>IFERROR(C35/(B35*10.7639),0)</f>
        <v>10.322667939977853</v>
      </c>
    </row>
    <row r="36" spans="1:6" x14ac:dyDescent="0.3">
      <c r="A36" s="21" t="s">
        <v>43</v>
      </c>
    </row>
    <row r="72" spans="8:9" x14ac:dyDescent="0.3">
      <c r="H72" t="s">
        <v>11</v>
      </c>
      <c r="I72" s="22">
        <f>'Source Data'!O38</f>
        <v>1504283</v>
      </c>
    </row>
    <row r="73" spans="8:9" x14ac:dyDescent="0.3">
      <c r="H73" t="s">
        <v>12</v>
      </c>
      <c r="I73" s="22">
        <f>'Source Data'!O70</f>
        <v>2388289</v>
      </c>
    </row>
  </sheetData>
  <mergeCells count="12">
    <mergeCell ref="A5:C5"/>
    <mergeCell ref="D5:F5"/>
    <mergeCell ref="G5:I5"/>
    <mergeCell ref="A6:C6"/>
    <mergeCell ref="D6:F6"/>
    <mergeCell ref="G6:I6"/>
    <mergeCell ref="A8:C8"/>
    <mergeCell ref="D8:F8"/>
    <mergeCell ref="G8:I8"/>
    <mergeCell ref="A9:C9"/>
    <mergeCell ref="D9:F9"/>
    <mergeCell ref="G9:I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72"/>
  <sheetViews>
    <sheetView tabSelected="1" zoomScaleNormal="100" workbookViewId="0">
      <pane xSplit="2" ySplit="5" topLeftCell="C37" activePane="bottomRight" state="frozen"/>
      <selection pane="topRight" activeCell="C1" sqref="C1"/>
      <selection pane="bottomLeft" activeCell="A6" sqref="A6"/>
      <selection pane="bottomRight" activeCell="C37" sqref="C37"/>
    </sheetView>
  </sheetViews>
  <sheetFormatPr defaultColWidth="8.6640625" defaultRowHeight="14.4" x14ac:dyDescent="0.3"/>
  <cols>
    <col min="1" max="1" width="34" customWidth="1"/>
    <col min="2" max="2" width="26" customWidth="1"/>
    <col min="3" max="14" width="9.5546875" customWidth="1"/>
    <col min="15" max="15" width="11" customWidth="1"/>
  </cols>
  <sheetData>
    <row r="1" spans="1:15" ht="21" x14ac:dyDescent="0.4">
      <c r="A1" s="23" t="s">
        <v>44</v>
      </c>
    </row>
    <row r="2" spans="1:15" x14ac:dyDescent="0.3">
      <c r="A2" s="2"/>
    </row>
    <row r="4" spans="1:15" ht="15.6" x14ac:dyDescent="0.3">
      <c r="A4" s="3" t="s">
        <v>45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3">
      <c r="A5" s="5" t="s">
        <v>46</v>
      </c>
      <c r="B5" s="5" t="s">
        <v>47</v>
      </c>
      <c r="C5" s="5" t="s">
        <v>17</v>
      </c>
      <c r="D5" s="5" t="s">
        <v>19</v>
      </c>
      <c r="E5" s="5" t="s">
        <v>21</v>
      </c>
      <c r="F5" s="5" t="s">
        <v>23</v>
      </c>
      <c r="G5" s="5" t="s">
        <v>25</v>
      </c>
      <c r="H5" s="5" t="s">
        <v>27</v>
      </c>
      <c r="I5" s="5" t="s">
        <v>29</v>
      </c>
      <c r="J5" s="5" t="s">
        <v>31</v>
      </c>
      <c r="K5" s="5" t="s">
        <v>33</v>
      </c>
      <c r="L5" s="5" t="s">
        <v>34</v>
      </c>
      <c r="M5" s="5" t="s">
        <v>35</v>
      </c>
      <c r="N5" s="5" t="s">
        <v>36</v>
      </c>
      <c r="O5" s="5" t="s">
        <v>13</v>
      </c>
    </row>
    <row r="6" spans="1:15" hidden="1" x14ac:dyDescent="0.3">
      <c r="A6" s="6" t="s">
        <v>48</v>
      </c>
      <c r="B6" s="6" t="s">
        <v>49</v>
      </c>
      <c r="C6" s="7">
        <v>1754</v>
      </c>
      <c r="D6" s="7">
        <v>1307</v>
      </c>
      <c r="E6" s="7">
        <v>1867</v>
      </c>
      <c r="F6" s="7">
        <v>1830</v>
      </c>
      <c r="G6" s="7">
        <v>2150</v>
      </c>
      <c r="H6" s="7">
        <v>2440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24">
        <f t="shared" ref="O6:O37" si="0">SUM(C6:N6)</f>
        <v>11348</v>
      </c>
    </row>
    <row r="7" spans="1:15" hidden="1" x14ac:dyDescent="0.3">
      <c r="A7" s="6" t="s">
        <v>50</v>
      </c>
      <c r="B7" s="6" t="s">
        <v>49</v>
      </c>
      <c r="C7" s="7">
        <v>5006</v>
      </c>
      <c r="D7" s="7">
        <v>3965</v>
      </c>
      <c r="E7" s="7">
        <v>5848</v>
      </c>
      <c r="F7" s="7">
        <v>6307</v>
      </c>
      <c r="G7" s="7">
        <v>7928</v>
      </c>
      <c r="H7" s="7">
        <v>7911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24">
        <f t="shared" si="0"/>
        <v>36965</v>
      </c>
    </row>
    <row r="8" spans="1:15" hidden="1" x14ac:dyDescent="0.3">
      <c r="A8" s="6" t="s">
        <v>51</v>
      </c>
      <c r="B8" s="6" t="s">
        <v>52</v>
      </c>
      <c r="C8" s="7">
        <v>15401</v>
      </c>
      <c r="D8" s="7">
        <v>14614</v>
      </c>
      <c r="E8" s="7">
        <v>17959</v>
      </c>
      <c r="F8" s="7">
        <v>7155</v>
      </c>
      <c r="G8" s="7">
        <v>13269</v>
      </c>
      <c r="H8" s="7">
        <v>7259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24">
        <f t="shared" si="0"/>
        <v>75657</v>
      </c>
    </row>
    <row r="9" spans="1:15" hidden="1" x14ac:dyDescent="0.3">
      <c r="A9" s="6" t="s">
        <v>53</v>
      </c>
      <c r="B9" s="6" t="s">
        <v>54</v>
      </c>
      <c r="C9" s="7">
        <v>3665</v>
      </c>
      <c r="D9" s="7">
        <v>2570</v>
      </c>
      <c r="E9" s="7">
        <v>3636</v>
      </c>
      <c r="F9" s="7">
        <v>3004</v>
      </c>
      <c r="G9" s="7">
        <v>4236</v>
      </c>
      <c r="H9" s="7">
        <v>4272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24">
        <f t="shared" si="0"/>
        <v>21383</v>
      </c>
    </row>
    <row r="10" spans="1:15" hidden="1" x14ac:dyDescent="0.3">
      <c r="A10" s="6" t="s">
        <v>55</v>
      </c>
      <c r="B10" s="6" t="s">
        <v>56</v>
      </c>
      <c r="C10" s="7">
        <v>43</v>
      </c>
      <c r="D10" s="7">
        <v>28</v>
      </c>
      <c r="E10" s="7">
        <v>52</v>
      </c>
      <c r="F10" s="7">
        <v>50</v>
      </c>
      <c r="G10" s="7">
        <v>38</v>
      </c>
      <c r="H10" s="7">
        <v>29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24">
        <f t="shared" si="0"/>
        <v>240</v>
      </c>
    </row>
    <row r="11" spans="1:15" hidden="1" x14ac:dyDescent="0.3">
      <c r="A11" s="6" t="s">
        <v>57</v>
      </c>
      <c r="B11" s="6" t="s">
        <v>56</v>
      </c>
      <c r="C11" s="7">
        <v>0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24">
        <f t="shared" si="0"/>
        <v>5</v>
      </c>
    </row>
    <row r="12" spans="1:15" hidden="1" x14ac:dyDescent="0.3">
      <c r="A12" s="6" t="s">
        <v>58</v>
      </c>
      <c r="B12" s="6" t="s">
        <v>56</v>
      </c>
      <c r="C12" s="7">
        <v>2928</v>
      </c>
      <c r="D12" s="7">
        <v>2715</v>
      </c>
      <c r="E12" s="7">
        <v>3736</v>
      </c>
      <c r="F12" s="7">
        <v>3038</v>
      </c>
      <c r="G12" s="7">
        <v>2888</v>
      </c>
      <c r="H12" s="7">
        <v>2851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24">
        <f t="shared" si="0"/>
        <v>18156</v>
      </c>
    </row>
    <row r="13" spans="1:15" hidden="1" x14ac:dyDescent="0.3">
      <c r="A13" s="6" t="s">
        <v>59</v>
      </c>
      <c r="B13" s="6" t="s">
        <v>60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1749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24">
        <f t="shared" si="0"/>
        <v>1749</v>
      </c>
    </row>
    <row r="14" spans="1:15" hidden="1" x14ac:dyDescent="0.3">
      <c r="A14" s="6" t="s">
        <v>61</v>
      </c>
      <c r="B14" s="6" t="s">
        <v>62</v>
      </c>
      <c r="C14" s="7">
        <v>1412</v>
      </c>
      <c r="D14" s="7">
        <v>1752</v>
      </c>
      <c r="E14" s="7">
        <v>2247</v>
      </c>
      <c r="F14" s="7">
        <v>2334</v>
      </c>
      <c r="G14" s="7">
        <v>2722</v>
      </c>
      <c r="H14" s="7">
        <v>2842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24">
        <f t="shared" si="0"/>
        <v>13309</v>
      </c>
    </row>
    <row r="15" spans="1:15" hidden="1" x14ac:dyDescent="0.3">
      <c r="A15" s="6" t="s">
        <v>63</v>
      </c>
      <c r="B15" s="6" t="s">
        <v>62</v>
      </c>
      <c r="C15" s="7">
        <v>1481</v>
      </c>
      <c r="D15" s="7">
        <v>2008</v>
      </c>
      <c r="E15" s="7">
        <v>2403</v>
      </c>
      <c r="F15" s="7">
        <v>2157</v>
      </c>
      <c r="G15" s="7">
        <v>2456</v>
      </c>
      <c r="H15" s="7">
        <v>2723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24">
        <f t="shared" si="0"/>
        <v>13228</v>
      </c>
    </row>
    <row r="16" spans="1:15" hidden="1" x14ac:dyDescent="0.3">
      <c r="A16" s="6" t="s">
        <v>64</v>
      </c>
      <c r="B16" s="6" t="s">
        <v>65</v>
      </c>
      <c r="C16" s="7">
        <v>2817</v>
      </c>
      <c r="D16" s="7">
        <v>2874</v>
      </c>
      <c r="E16" s="7">
        <v>2847</v>
      </c>
      <c r="F16" s="7">
        <v>2668</v>
      </c>
      <c r="G16" s="7">
        <v>3871</v>
      </c>
      <c r="H16" s="7">
        <v>3463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24">
        <f t="shared" si="0"/>
        <v>18540</v>
      </c>
    </row>
    <row r="17" spans="1:15" hidden="1" x14ac:dyDescent="0.3">
      <c r="A17" s="6" t="s">
        <v>66</v>
      </c>
      <c r="B17" s="6" t="s">
        <v>67</v>
      </c>
      <c r="C17" s="7">
        <v>0</v>
      </c>
      <c r="D17" s="7">
        <v>81</v>
      </c>
      <c r="E17" s="7">
        <v>0</v>
      </c>
      <c r="F17" s="7">
        <v>0</v>
      </c>
      <c r="G17" s="7">
        <v>355</v>
      </c>
      <c r="H17" s="7">
        <v>552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24">
        <f t="shared" si="0"/>
        <v>988</v>
      </c>
    </row>
    <row r="18" spans="1:15" hidden="1" x14ac:dyDescent="0.3">
      <c r="A18" s="6" t="s">
        <v>68</v>
      </c>
      <c r="B18" s="6" t="s">
        <v>69</v>
      </c>
      <c r="C18" s="7">
        <v>1555</v>
      </c>
      <c r="D18" s="7">
        <v>2099</v>
      </c>
      <c r="E18" s="7">
        <v>831</v>
      </c>
      <c r="F18" s="7">
        <v>1788</v>
      </c>
      <c r="G18" s="7">
        <v>1950</v>
      </c>
      <c r="H18" s="7">
        <v>1830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24">
        <f t="shared" si="0"/>
        <v>10053</v>
      </c>
    </row>
    <row r="19" spans="1:15" hidden="1" x14ac:dyDescent="0.3">
      <c r="A19" s="6" t="s">
        <v>70</v>
      </c>
      <c r="B19" s="6" t="s">
        <v>71</v>
      </c>
      <c r="C19" s="7">
        <v>5101</v>
      </c>
      <c r="D19" s="7">
        <v>7546</v>
      </c>
      <c r="E19" s="7">
        <v>3963</v>
      </c>
      <c r="F19" s="7">
        <v>4479</v>
      </c>
      <c r="G19" s="7">
        <v>5363</v>
      </c>
      <c r="H19" s="7">
        <v>3742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24">
        <f t="shared" si="0"/>
        <v>30194</v>
      </c>
    </row>
    <row r="20" spans="1:15" hidden="1" x14ac:dyDescent="0.3">
      <c r="A20" s="6" t="s">
        <v>72</v>
      </c>
      <c r="B20" s="6" t="s">
        <v>71</v>
      </c>
      <c r="C20" s="7">
        <v>1886</v>
      </c>
      <c r="D20" s="7">
        <v>1373</v>
      </c>
      <c r="E20" s="7">
        <v>552</v>
      </c>
      <c r="F20" s="7">
        <v>862</v>
      </c>
      <c r="G20" s="7">
        <v>789</v>
      </c>
      <c r="H20" s="7">
        <v>441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24">
        <f t="shared" si="0"/>
        <v>5903</v>
      </c>
    </row>
    <row r="21" spans="1:15" hidden="1" x14ac:dyDescent="0.3">
      <c r="A21" s="6" t="s">
        <v>73</v>
      </c>
      <c r="B21" s="6" t="s">
        <v>74</v>
      </c>
      <c r="C21" s="7">
        <v>3933</v>
      </c>
      <c r="D21" s="7">
        <v>5000</v>
      </c>
      <c r="E21" s="7">
        <v>2278</v>
      </c>
      <c r="F21" s="7">
        <v>3449</v>
      </c>
      <c r="G21" s="7">
        <v>3054</v>
      </c>
      <c r="H21" s="7">
        <v>2427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24">
        <f t="shared" si="0"/>
        <v>20141</v>
      </c>
    </row>
    <row r="22" spans="1:15" hidden="1" x14ac:dyDescent="0.3">
      <c r="A22" s="6" t="s">
        <v>75</v>
      </c>
      <c r="B22" s="6" t="s">
        <v>74</v>
      </c>
      <c r="C22" s="7">
        <v>11726</v>
      </c>
      <c r="D22" s="7">
        <v>9366</v>
      </c>
      <c r="E22" s="7">
        <v>12870</v>
      </c>
      <c r="F22" s="7">
        <v>11393</v>
      </c>
      <c r="G22" s="7">
        <v>14966</v>
      </c>
      <c r="H22" s="7">
        <v>13690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24">
        <f t="shared" si="0"/>
        <v>74011</v>
      </c>
    </row>
    <row r="23" spans="1:15" hidden="1" x14ac:dyDescent="0.3">
      <c r="A23" s="6" t="s">
        <v>76</v>
      </c>
      <c r="B23" s="6" t="s">
        <v>49</v>
      </c>
      <c r="C23" s="7">
        <v>969</v>
      </c>
      <c r="D23" s="7">
        <v>734</v>
      </c>
      <c r="E23" s="7">
        <v>1036</v>
      </c>
      <c r="F23" s="7">
        <v>821</v>
      </c>
      <c r="G23" s="7">
        <v>1009</v>
      </c>
      <c r="H23" s="7">
        <v>1036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24">
        <f t="shared" si="0"/>
        <v>5605</v>
      </c>
    </row>
    <row r="24" spans="1:15" hidden="1" x14ac:dyDescent="0.3">
      <c r="A24" s="6" t="s">
        <v>77</v>
      </c>
      <c r="B24" s="6" t="s">
        <v>49</v>
      </c>
      <c r="C24" s="7">
        <v>7193</v>
      </c>
      <c r="D24" s="7">
        <v>5917</v>
      </c>
      <c r="E24" s="7">
        <v>8791</v>
      </c>
      <c r="F24" s="7">
        <v>7347</v>
      </c>
      <c r="G24" s="7">
        <v>9001</v>
      </c>
      <c r="H24" s="7">
        <v>8477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24">
        <f t="shared" si="0"/>
        <v>46726</v>
      </c>
    </row>
    <row r="25" spans="1:15" hidden="1" x14ac:dyDescent="0.3">
      <c r="A25" s="6" t="s">
        <v>78</v>
      </c>
      <c r="B25" s="6" t="s">
        <v>49</v>
      </c>
      <c r="C25" s="7">
        <v>3229</v>
      </c>
      <c r="D25" s="7">
        <v>2617</v>
      </c>
      <c r="E25" s="7">
        <v>4051</v>
      </c>
      <c r="F25" s="7">
        <v>3752</v>
      </c>
      <c r="G25" s="7">
        <v>4908</v>
      </c>
      <c r="H25" s="7">
        <v>5729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24">
        <f t="shared" si="0"/>
        <v>24286</v>
      </c>
    </row>
    <row r="26" spans="1:15" hidden="1" x14ac:dyDescent="0.3">
      <c r="A26" s="6" t="s">
        <v>79</v>
      </c>
      <c r="B26" s="6" t="s">
        <v>80</v>
      </c>
      <c r="C26" s="7">
        <v>5581</v>
      </c>
      <c r="D26" s="7">
        <v>4968</v>
      </c>
      <c r="E26" s="7">
        <v>6027</v>
      </c>
      <c r="F26" s="7">
        <v>5123</v>
      </c>
      <c r="G26" s="7">
        <v>5731</v>
      </c>
      <c r="H26" s="7">
        <v>5440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24">
        <f t="shared" si="0"/>
        <v>32870</v>
      </c>
    </row>
    <row r="27" spans="1:15" hidden="1" x14ac:dyDescent="0.3">
      <c r="A27" s="6" t="s">
        <v>81</v>
      </c>
      <c r="B27" s="6" t="s">
        <v>82</v>
      </c>
      <c r="C27" s="7">
        <v>6525</v>
      </c>
      <c r="D27" s="7">
        <v>7712</v>
      </c>
      <c r="E27" s="7">
        <v>6335</v>
      </c>
      <c r="F27" s="7">
        <v>12478</v>
      </c>
      <c r="G27" s="7">
        <v>12445</v>
      </c>
      <c r="H27" s="7">
        <v>14609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24">
        <f t="shared" si="0"/>
        <v>60104</v>
      </c>
    </row>
    <row r="28" spans="1:15" hidden="1" x14ac:dyDescent="0.3">
      <c r="A28" s="6" t="s">
        <v>83</v>
      </c>
      <c r="B28" s="6" t="s">
        <v>80</v>
      </c>
      <c r="C28" s="7">
        <v>5935</v>
      </c>
      <c r="D28" s="7">
        <v>3853</v>
      </c>
      <c r="E28" s="7">
        <v>5879</v>
      </c>
      <c r="F28" s="7">
        <v>3370</v>
      </c>
      <c r="G28" s="7">
        <v>4984</v>
      </c>
      <c r="H28" s="7">
        <v>4215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24">
        <f t="shared" si="0"/>
        <v>28236</v>
      </c>
    </row>
    <row r="29" spans="1:15" hidden="1" x14ac:dyDescent="0.3">
      <c r="A29" s="6" t="s">
        <v>84</v>
      </c>
      <c r="B29" s="6" t="s">
        <v>80</v>
      </c>
      <c r="C29" s="7">
        <v>13144</v>
      </c>
      <c r="D29" s="7">
        <v>7730</v>
      </c>
      <c r="E29" s="7">
        <v>13096</v>
      </c>
      <c r="F29" s="7">
        <v>7567</v>
      </c>
      <c r="G29" s="7">
        <v>11238</v>
      </c>
      <c r="H29" s="7">
        <v>9606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24">
        <f t="shared" si="0"/>
        <v>62381</v>
      </c>
    </row>
    <row r="30" spans="1:15" hidden="1" x14ac:dyDescent="0.3">
      <c r="A30" s="6" t="s">
        <v>85</v>
      </c>
      <c r="B30" s="6" t="s">
        <v>86</v>
      </c>
      <c r="C30" s="7">
        <v>43743</v>
      </c>
      <c r="D30" s="7">
        <v>28737</v>
      </c>
      <c r="E30" s="7">
        <v>42298</v>
      </c>
      <c r="F30" s="7">
        <v>26636</v>
      </c>
      <c r="G30" s="7">
        <v>34334</v>
      </c>
      <c r="H30" s="7">
        <v>31993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24">
        <f t="shared" si="0"/>
        <v>207741</v>
      </c>
    </row>
    <row r="31" spans="1:15" hidden="1" x14ac:dyDescent="0.3">
      <c r="A31" s="6" t="s">
        <v>87</v>
      </c>
      <c r="B31" s="6" t="s">
        <v>88</v>
      </c>
      <c r="C31" s="7">
        <v>37542</v>
      </c>
      <c r="D31" s="7">
        <v>28960</v>
      </c>
      <c r="E31" s="7">
        <v>35629</v>
      </c>
      <c r="F31" s="7">
        <v>29615</v>
      </c>
      <c r="G31" s="7">
        <v>37152</v>
      </c>
      <c r="H31" s="7">
        <v>32682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24">
        <f t="shared" si="0"/>
        <v>201580</v>
      </c>
    </row>
    <row r="32" spans="1:15" hidden="1" x14ac:dyDescent="0.3">
      <c r="A32" s="6" t="s">
        <v>89</v>
      </c>
      <c r="B32" s="6" t="s">
        <v>54</v>
      </c>
      <c r="C32" s="7">
        <v>32383</v>
      </c>
      <c r="D32" s="7">
        <v>27935</v>
      </c>
      <c r="E32" s="7">
        <v>33749</v>
      </c>
      <c r="F32" s="7">
        <v>27756</v>
      </c>
      <c r="G32" s="7">
        <v>36676</v>
      </c>
      <c r="H32" s="7">
        <v>31430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24">
        <f t="shared" si="0"/>
        <v>189929</v>
      </c>
    </row>
    <row r="33" spans="1:15" hidden="1" x14ac:dyDescent="0.3">
      <c r="A33" s="6" t="s">
        <v>90</v>
      </c>
      <c r="B33" s="6" t="s">
        <v>54</v>
      </c>
      <c r="C33" s="7">
        <v>13834</v>
      </c>
      <c r="D33" s="7">
        <v>10593</v>
      </c>
      <c r="E33" s="7">
        <v>14445</v>
      </c>
      <c r="F33" s="7">
        <v>11693</v>
      </c>
      <c r="G33" s="7">
        <v>14900</v>
      </c>
      <c r="H33" s="7">
        <v>13237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24">
        <f t="shared" si="0"/>
        <v>78702</v>
      </c>
    </row>
    <row r="34" spans="1:15" hidden="1" x14ac:dyDescent="0.3">
      <c r="A34" s="6" t="s">
        <v>91</v>
      </c>
      <c r="B34" s="6" t="s">
        <v>92</v>
      </c>
      <c r="C34" s="7">
        <v>21708</v>
      </c>
      <c r="D34" s="7">
        <v>12029</v>
      </c>
      <c r="E34" s="7">
        <v>17291</v>
      </c>
      <c r="F34" s="7">
        <v>10407</v>
      </c>
      <c r="G34" s="7">
        <v>14655</v>
      </c>
      <c r="H34" s="7">
        <v>14033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24">
        <f t="shared" si="0"/>
        <v>90123</v>
      </c>
    </row>
    <row r="35" spans="1:15" hidden="1" x14ac:dyDescent="0.3">
      <c r="A35" s="6" t="s">
        <v>93</v>
      </c>
      <c r="B35" s="6" t="s">
        <v>92</v>
      </c>
      <c r="C35" s="7">
        <v>8906</v>
      </c>
      <c r="D35" s="7">
        <v>5684</v>
      </c>
      <c r="E35" s="7">
        <v>8025</v>
      </c>
      <c r="F35" s="7">
        <v>4676</v>
      </c>
      <c r="G35" s="7">
        <v>6831</v>
      </c>
      <c r="H35" s="7">
        <v>6620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24">
        <f t="shared" si="0"/>
        <v>40742</v>
      </c>
    </row>
    <row r="36" spans="1:15" hidden="1" x14ac:dyDescent="0.3">
      <c r="A36" s="6" t="s">
        <v>94</v>
      </c>
      <c r="B36" s="6" t="s">
        <v>95</v>
      </c>
      <c r="C36" s="7">
        <v>8083</v>
      </c>
      <c r="D36" s="7">
        <v>6730</v>
      </c>
      <c r="E36" s="7">
        <v>8271</v>
      </c>
      <c r="F36" s="7">
        <v>6305</v>
      </c>
      <c r="G36" s="7">
        <v>7566</v>
      </c>
      <c r="H36" s="7">
        <v>6156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24">
        <f t="shared" si="0"/>
        <v>43111</v>
      </c>
    </row>
    <row r="37" spans="1:15" x14ac:dyDescent="0.3">
      <c r="A37" s="6" t="s">
        <v>96</v>
      </c>
      <c r="B37" s="6" t="s">
        <v>97</v>
      </c>
      <c r="C37" s="7">
        <v>5214</v>
      </c>
      <c r="D37" s="7">
        <v>6382</v>
      </c>
      <c r="E37" s="7">
        <v>7029</v>
      </c>
      <c r="F37" s="7">
        <v>7260</v>
      </c>
      <c r="G37" s="7">
        <v>7059</v>
      </c>
      <c r="H37" s="7">
        <v>7333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24">
        <f t="shared" si="0"/>
        <v>40277</v>
      </c>
    </row>
    <row r="38" spans="1:15" hidden="1" x14ac:dyDescent="0.3">
      <c r="B38" s="14" t="s">
        <v>98</v>
      </c>
      <c r="C38" s="15">
        <f t="shared" ref="C38:O38" si="1">SUM(C6:C37)</f>
        <v>272697</v>
      </c>
      <c r="D38" s="15">
        <f t="shared" si="1"/>
        <v>217880</v>
      </c>
      <c r="E38" s="15">
        <f t="shared" si="1"/>
        <v>273042</v>
      </c>
      <c r="F38" s="15">
        <f t="shared" si="1"/>
        <v>215321</v>
      </c>
      <c r="G38" s="15">
        <f t="shared" si="1"/>
        <v>274525</v>
      </c>
      <c r="H38" s="15">
        <f t="shared" si="1"/>
        <v>250818</v>
      </c>
      <c r="I38" s="15">
        <f t="shared" si="1"/>
        <v>0</v>
      </c>
      <c r="J38" s="15">
        <f t="shared" si="1"/>
        <v>0</v>
      </c>
      <c r="K38" s="15">
        <f t="shared" si="1"/>
        <v>0</v>
      </c>
      <c r="L38" s="15">
        <f t="shared" si="1"/>
        <v>0</v>
      </c>
      <c r="M38" s="15">
        <f t="shared" si="1"/>
        <v>0</v>
      </c>
      <c r="N38" s="15">
        <f t="shared" si="1"/>
        <v>0</v>
      </c>
      <c r="O38" s="15">
        <f t="shared" si="1"/>
        <v>1504283</v>
      </c>
    </row>
    <row r="41" spans="1:15" ht="15.6" x14ac:dyDescent="0.3">
      <c r="A41" s="3" t="s">
        <v>99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3">
      <c r="A42" s="5" t="s">
        <v>100</v>
      </c>
      <c r="B42" s="5" t="s">
        <v>14</v>
      </c>
      <c r="C42" s="5" t="s">
        <v>17</v>
      </c>
      <c r="D42" s="5" t="s">
        <v>19</v>
      </c>
      <c r="E42" s="5" t="s">
        <v>21</v>
      </c>
      <c r="F42" s="5" t="s">
        <v>23</v>
      </c>
      <c r="G42" s="5" t="s">
        <v>25</v>
      </c>
      <c r="H42" s="5" t="s">
        <v>27</v>
      </c>
      <c r="I42" s="5" t="s">
        <v>29</v>
      </c>
      <c r="J42" s="5" t="s">
        <v>31</v>
      </c>
      <c r="K42" s="5" t="s">
        <v>33</v>
      </c>
      <c r="L42" s="5" t="s">
        <v>34</v>
      </c>
      <c r="M42" s="5" t="s">
        <v>35</v>
      </c>
      <c r="N42" s="5" t="s">
        <v>36</v>
      </c>
      <c r="O42" s="5" t="s">
        <v>13</v>
      </c>
    </row>
    <row r="43" spans="1:15" x14ac:dyDescent="0.3">
      <c r="A43" s="6" t="s">
        <v>101</v>
      </c>
      <c r="B43" s="6" t="s">
        <v>18</v>
      </c>
      <c r="C43" s="7">
        <v>118085</v>
      </c>
      <c r="D43" s="7">
        <v>123184</v>
      </c>
      <c r="E43" s="7">
        <v>150132</v>
      </c>
      <c r="F43" s="7">
        <v>159101</v>
      </c>
      <c r="G43" s="7">
        <v>165042</v>
      </c>
      <c r="H43" s="7">
        <v>156856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24">
        <f t="shared" ref="O43:O69" si="2">SUM(C43:N43)</f>
        <v>872400</v>
      </c>
    </row>
    <row r="44" spans="1:15" x14ac:dyDescent="0.3">
      <c r="A44" s="6" t="s">
        <v>102</v>
      </c>
      <c r="B44" s="6" t="s">
        <v>22</v>
      </c>
      <c r="C44" s="7">
        <v>13866</v>
      </c>
      <c r="D44" s="7">
        <v>10787</v>
      </c>
      <c r="E44" s="7">
        <v>10769</v>
      </c>
      <c r="F44" s="7">
        <v>14904</v>
      </c>
      <c r="G44" s="7">
        <v>17952</v>
      </c>
      <c r="H44" s="7">
        <v>17238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24">
        <f t="shared" si="2"/>
        <v>85516</v>
      </c>
    </row>
    <row r="45" spans="1:15" x14ac:dyDescent="0.3">
      <c r="A45" s="6" t="s">
        <v>103</v>
      </c>
      <c r="B45" s="6" t="s">
        <v>22</v>
      </c>
      <c r="C45" s="7">
        <v>18866</v>
      </c>
      <c r="D45" s="7">
        <v>21237</v>
      </c>
      <c r="E45" s="7">
        <v>23498</v>
      </c>
      <c r="F45" s="7">
        <v>505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24">
        <f t="shared" si="2"/>
        <v>64106</v>
      </c>
    </row>
    <row r="46" spans="1:15" x14ac:dyDescent="0.3">
      <c r="A46" s="6" t="s">
        <v>104</v>
      </c>
      <c r="B46" s="6" t="s">
        <v>20</v>
      </c>
      <c r="C46" s="7">
        <v>12980</v>
      </c>
      <c r="D46" s="7">
        <v>15183</v>
      </c>
      <c r="E46" s="7">
        <v>11291</v>
      </c>
      <c r="F46" s="7">
        <v>14401</v>
      </c>
      <c r="G46" s="7">
        <v>19505</v>
      </c>
      <c r="H46" s="7">
        <v>17059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24">
        <f t="shared" si="2"/>
        <v>90419</v>
      </c>
    </row>
    <row r="47" spans="1:15" x14ac:dyDescent="0.3">
      <c r="A47" s="6" t="s">
        <v>105</v>
      </c>
      <c r="B47" s="6" t="s">
        <v>20</v>
      </c>
      <c r="C47" s="7">
        <v>17</v>
      </c>
      <c r="D47" s="7">
        <v>14</v>
      </c>
      <c r="E47" s="7">
        <v>15</v>
      </c>
      <c r="F47" s="7">
        <v>20</v>
      </c>
      <c r="G47" s="7">
        <v>20</v>
      </c>
      <c r="H47" s="7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24">
        <f t="shared" si="2"/>
        <v>110</v>
      </c>
    </row>
    <row r="48" spans="1:15" x14ac:dyDescent="0.3">
      <c r="A48" s="6" t="s">
        <v>106</v>
      </c>
      <c r="B48" s="6" t="s">
        <v>28</v>
      </c>
      <c r="C48" s="7">
        <v>948</v>
      </c>
      <c r="D48" s="7">
        <v>877</v>
      </c>
      <c r="E48" s="7">
        <v>969</v>
      </c>
      <c r="F48" s="7">
        <v>1118</v>
      </c>
      <c r="G48" s="7">
        <v>1221</v>
      </c>
      <c r="H48" s="7">
        <v>1115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24">
        <f t="shared" si="2"/>
        <v>6248</v>
      </c>
    </row>
    <row r="49" spans="1:15" x14ac:dyDescent="0.3">
      <c r="A49" s="6" t="s">
        <v>107</v>
      </c>
      <c r="B49" s="6" t="s">
        <v>28</v>
      </c>
      <c r="C49" s="7">
        <v>5908</v>
      </c>
      <c r="D49" s="7">
        <v>6377</v>
      </c>
      <c r="E49" s="7">
        <v>7284</v>
      </c>
      <c r="F49" s="7">
        <v>7438</v>
      </c>
      <c r="G49" s="7">
        <v>7233</v>
      </c>
      <c r="H49" s="7">
        <v>7639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24">
        <f t="shared" si="2"/>
        <v>41879</v>
      </c>
    </row>
    <row r="50" spans="1:15" x14ac:dyDescent="0.3">
      <c r="A50" s="6" t="s">
        <v>108</v>
      </c>
      <c r="B50" s="6" t="s">
        <v>26</v>
      </c>
      <c r="C50" s="7">
        <v>159</v>
      </c>
      <c r="D50" s="7">
        <v>129</v>
      </c>
      <c r="E50" s="7">
        <v>178</v>
      </c>
      <c r="F50" s="7">
        <v>159</v>
      </c>
      <c r="G50" s="7">
        <v>205</v>
      </c>
      <c r="H50" s="7">
        <v>205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24">
        <f t="shared" si="2"/>
        <v>1035</v>
      </c>
    </row>
    <row r="51" spans="1:15" x14ac:dyDescent="0.3">
      <c r="A51" s="6" t="s">
        <v>109</v>
      </c>
      <c r="B51" s="6" t="s">
        <v>26</v>
      </c>
      <c r="C51" s="7">
        <v>3998</v>
      </c>
      <c r="D51" s="7">
        <v>3098</v>
      </c>
      <c r="E51" s="7">
        <v>4409</v>
      </c>
      <c r="F51" s="7">
        <v>4063</v>
      </c>
      <c r="G51" s="7">
        <v>4891</v>
      </c>
      <c r="H51" s="7">
        <v>5448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24">
        <f t="shared" si="2"/>
        <v>25907</v>
      </c>
    </row>
    <row r="52" spans="1:15" x14ac:dyDescent="0.3">
      <c r="A52" s="6" t="s">
        <v>110</v>
      </c>
      <c r="B52" s="6" t="s">
        <v>18</v>
      </c>
      <c r="C52" s="7">
        <v>7806</v>
      </c>
      <c r="D52" s="7">
        <v>6417</v>
      </c>
      <c r="E52" s="7">
        <v>10858</v>
      </c>
      <c r="F52" s="7">
        <v>9932</v>
      </c>
      <c r="G52" s="7">
        <v>8114</v>
      </c>
      <c r="H52" s="7">
        <v>13304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24">
        <f t="shared" si="2"/>
        <v>56431</v>
      </c>
    </row>
    <row r="53" spans="1:15" x14ac:dyDescent="0.3">
      <c r="A53" s="6" t="s">
        <v>111</v>
      </c>
      <c r="B53" s="6" t="s">
        <v>28</v>
      </c>
      <c r="C53" s="7">
        <v>9239</v>
      </c>
      <c r="D53" s="7">
        <v>11769</v>
      </c>
      <c r="E53" s="7">
        <v>14172</v>
      </c>
      <c r="F53" s="7">
        <v>12641</v>
      </c>
      <c r="G53" s="7">
        <v>16058</v>
      </c>
      <c r="H53" s="7">
        <v>16628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24">
        <f t="shared" si="2"/>
        <v>80507</v>
      </c>
    </row>
    <row r="54" spans="1:15" x14ac:dyDescent="0.3">
      <c r="A54" s="6" t="s">
        <v>112</v>
      </c>
      <c r="B54" s="6" t="s">
        <v>20</v>
      </c>
      <c r="C54" s="7">
        <v>6108</v>
      </c>
      <c r="D54" s="7">
        <v>6163</v>
      </c>
      <c r="E54" s="7">
        <v>6430</v>
      </c>
      <c r="F54" s="7">
        <v>6123</v>
      </c>
      <c r="G54" s="7">
        <v>8069</v>
      </c>
      <c r="H54" s="7">
        <v>8824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24">
        <f t="shared" si="2"/>
        <v>41717</v>
      </c>
    </row>
    <row r="55" spans="1:15" x14ac:dyDescent="0.3">
      <c r="A55" s="6" t="s">
        <v>113</v>
      </c>
      <c r="B55" s="6" t="s">
        <v>24</v>
      </c>
      <c r="C55" s="7">
        <v>423</v>
      </c>
      <c r="D55" s="7">
        <v>649</v>
      </c>
      <c r="E55" s="7">
        <v>230</v>
      </c>
      <c r="F55" s="7">
        <v>475</v>
      </c>
      <c r="G55" s="7">
        <v>418</v>
      </c>
      <c r="H55" s="7">
        <v>408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24">
        <f t="shared" si="2"/>
        <v>2603</v>
      </c>
    </row>
    <row r="56" spans="1:15" x14ac:dyDescent="0.3">
      <c r="A56" s="6" t="s">
        <v>114</v>
      </c>
      <c r="B56" s="6" t="s">
        <v>20</v>
      </c>
      <c r="C56" s="7">
        <v>4285</v>
      </c>
      <c r="D56" s="7">
        <v>6046</v>
      </c>
      <c r="E56" s="7">
        <v>2374</v>
      </c>
      <c r="F56" s="7">
        <v>4546</v>
      </c>
      <c r="G56" s="7">
        <v>5124</v>
      </c>
      <c r="H56" s="7">
        <v>4714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24">
        <f t="shared" si="2"/>
        <v>27089</v>
      </c>
    </row>
    <row r="57" spans="1:15" x14ac:dyDescent="0.3">
      <c r="A57" s="6" t="s">
        <v>115</v>
      </c>
      <c r="B57" s="6" t="s">
        <v>24</v>
      </c>
      <c r="C57" s="7">
        <v>2183</v>
      </c>
      <c r="D57" s="7">
        <v>3260</v>
      </c>
      <c r="E57" s="7">
        <v>1297</v>
      </c>
      <c r="F57" s="7">
        <v>2289</v>
      </c>
      <c r="G57" s="7">
        <v>2421</v>
      </c>
      <c r="H57" s="7">
        <v>2343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24">
        <f t="shared" si="2"/>
        <v>13793</v>
      </c>
    </row>
    <row r="58" spans="1:15" x14ac:dyDescent="0.3">
      <c r="A58" s="6" t="s">
        <v>116</v>
      </c>
      <c r="B58" s="6" t="s">
        <v>22</v>
      </c>
      <c r="C58" s="7">
        <v>9112</v>
      </c>
      <c r="D58" s="7">
        <v>12061</v>
      </c>
      <c r="E58" s="7">
        <v>5667</v>
      </c>
      <c r="F58" s="7">
        <v>10368</v>
      </c>
      <c r="G58" s="7">
        <v>12047</v>
      </c>
      <c r="H58" s="7">
        <v>11755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24">
        <f t="shared" si="2"/>
        <v>61010</v>
      </c>
    </row>
    <row r="59" spans="1:15" x14ac:dyDescent="0.3">
      <c r="A59" s="6" t="s">
        <v>117</v>
      </c>
      <c r="B59" s="6" t="s">
        <v>20</v>
      </c>
      <c r="C59" s="7">
        <v>5558</v>
      </c>
      <c r="D59" s="7">
        <v>9000</v>
      </c>
      <c r="E59" s="7">
        <v>3463</v>
      </c>
      <c r="F59" s="7">
        <v>7160</v>
      </c>
      <c r="G59" s="7">
        <v>7644</v>
      </c>
      <c r="H59" s="7">
        <v>7303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24">
        <f t="shared" si="2"/>
        <v>40128</v>
      </c>
    </row>
    <row r="60" spans="1:15" x14ac:dyDescent="0.3">
      <c r="A60" s="6" t="s">
        <v>118</v>
      </c>
      <c r="B60" s="6" t="s">
        <v>20</v>
      </c>
      <c r="C60" s="7">
        <v>598</v>
      </c>
      <c r="D60" s="7">
        <v>1319</v>
      </c>
      <c r="E60" s="7">
        <v>636</v>
      </c>
      <c r="F60" s="7">
        <v>1157</v>
      </c>
      <c r="G60" s="7">
        <v>1242</v>
      </c>
      <c r="H60" s="7">
        <v>1074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24">
        <f t="shared" si="2"/>
        <v>6026</v>
      </c>
    </row>
    <row r="61" spans="1:15" x14ac:dyDescent="0.3">
      <c r="A61" s="6" t="s">
        <v>119</v>
      </c>
      <c r="B61" s="6" t="s">
        <v>20</v>
      </c>
      <c r="C61" s="7">
        <v>0</v>
      </c>
      <c r="D61" s="7">
        <v>1276</v>
      </c>
      <c r="E61" s="7">
        <v>729</v>
      </c>
      <c r="F61" s="7">
        <v>11522</v>
      </c>
      <c r="G61" s="7">
        <v>16298</v>
      </c>
      <c r="H61" s="7">
        <v>14388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24">
        <f t="shared" si="2"/>
        <v>44213</v>
      </c>
    </row>
    <row r="62" spans="1:15" x14ac:dyDescent="0.3">
      <c r="A62" s="6" t="s">
        <v>120</v>
      </c>
      <c r="B62" s="6" t="s">
        <v>24</v>
      </c>
      <c r="C62" s="7">
        <v>6501</v>
      </c>
      <c r="D62" s="7">
        <v>11156</v>
      </c>
      <c r="E62" s="7">
        <v>4705</v>
      </c>
      <c r="F62" s="7">
        <v>9704</v>
      </c>
      <c r="G62" s="7">
        <v>9453</v>
      </c>
      <c r="H62" s="7">
        <v>8346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24">
        <f t="shared" si="2"/>
        <v>49865</v>
      </c>
    </row>
    <row r="63" spans="1:15" x14ac:dyDescent="0.3">
      <c r="A63" s="6" t="s">
        <v>121</v>
      </c>
      <c r="B63" s="6" t="s">
        <v>18</v>
      </c>
      <c r="C63" s="7">
        <v>45808</v>
      </c>
      <c r="D63" s="7">
        <v>84844</v>
      </c>
      <c r="E63" s="7">
        <v>31745</v>
      </c>
      <c r="F63" s="7">
        <v>67839</v>
      </c>
      <c r="G63" s="7">
        <v>59732</v>
      </c>
      <c r="H63" s="7">
        <v>49798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24">
        <f t="shared" si="2"/>
        <v>339766</v>
      </c>
    </row>
    <row r="64" spans="1:15" x14ac:dyDescent="0.3">
      <c r="A64" s="6" t="s">
        <v>122</v>
      </c>
      <c r="B64" s="6" t="s">
        <v>28</v>
      </c>
      <c r="C64" s="7">
        <v>5642</v>
      </c>
      <c r="D64" s="7">
        <v>6983</v>
      </c>
      <c r="E64" s="7">
        <v>3368</v>
      </c>
      <c r="F64" s="7">
        <v>5528</v>
      </c>
      <c r="G64" s="7">
        <v>6080</v>
      </c>
      <c r="H64" s="7">
        <v>5823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24">
        <f t="shared" si="2"/>
        <v>33424</v>
      </c>
    </row>
    <row r="65" spans="1:15" x14ac:dyDescent="0.3">
      <c r="A65" s="6" t="s">
        <v>123</v>
      </c>
      <c r="B65" s="6" t="s">
        <v>32</v>
      </c>
      <c r="C65" s="7">
        <v>1492</v>
      </c>
      <c r="D65" s="7">
        <v>2387</v>
      </c>
      <c r="E65" s="7">
        <v>723</v>
      </c>
      <c r="F65" s="7">
        <v>1239</v>
      </c>
      <c r="G65" s="7">
        <v>1221</v>
      </c>
      <c r="H65" s="7">
        <v>1162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24">
        <f t="shared" si="2"/>
        <v>8224</v>
      </c>
    </row>
    <row r="66" spans="1:15" x14ac:dyDescent="0.3">
      <c r="A66" s="6" t="s">
        <v>124</v>
      </c>
      <c r="B66" s="6" t="s">
        <v>32</v>
      </c>
      <c r="C66" s="7">
        <v>46177</v>
      </c>
      <c r="D66" s="7">
        <v>52908</v>
      </c>
      <c r="E66" s="7">
        <v>26516</v>
      </c>
      <c r="F66" s="7">
        <v>39408</v>
      </c>
      <c r="G66" s="7">
        <v>49084</v>
      </c>
      <c r="H66" s="7">
        <v>45873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24">
        <f t="shared" si="2"/>
        <v>259966</v>
      </c>
    </row>
    <row r="67" spans="1:15" x14ac:dyDescent="0.3">
      <c r="A67" s="6" t="s">
        <v>125</v>
      </c>
      <c r="B67" s="6" t="s">
        <v>20</v>
      </c>
      <c r="C67" s="7">
        <v>1592</v>
      </c>
      <c r="D67" s="7">
        <v>2049</v>
      </c>
      <c r="E67" s="7">
        <v>949</v>
      </c>
      <c r="F67" s="7">
        <v>1583</v>
      </c>
      <c r="G67" s="7">
        <v>1478</v>
      </c>
      <c r="H67" s="7">
        <v>1301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24">
        <f t="shared" si="2"/>
        <v>8952</v>
      </c>
    </row>
    <row r="68" spans="1:15" x14ac:dyDescent="0.3">
      <c r="A68" s="6" t="s">
        <v>126</v>
      </c>
      <c r="B68" s="6" t="s">
        <v>30</v>
      </c>
      <c r="C68" s="7">
        <v>14116</v>
      </c>
      <c r="D68" s="7">
        <v>11473</v>
      </c>
      <c r="E68" s="7">
        <v>15156</v>
      </c>
      <c r="F68" s="7">
        <v>16010</v>
      </c>
      <c r="G68" s="7">
        <v>19272</v>
      </c>
      <c r="H68" s="7">
        <v>17777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24">
        <f t="shared" si="2"/>
        <v>93804</v>
      </c>
    </row>
    <row r="69" spans="1:15" x14ac:dyDescent="0.3">
      <c r="A69" s="6" t="s">
        <v>127</v>
      </c>
      <c r="B69" s="6" t="s">
        <v>20</v>
      </c>
      <c r="C69" s="7">
        <v>4498</v>
      </c>
      <c r="D69" s="7">
        <v>5008</v>
      </c>
      <c r="E69" s="7">
        <v>5893</v>
      </c>
      <c r="F69" s="7">
        <v>6272</v>
      </c>
      <c r="G69" s="7">
        <v>5836</v>
      </c>
      <c r="H69" s="7">
        <v>5644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24">
        <f t="shared" si="2"/>
        <v>33151</v>
      </c>
    </row>
    <row r="70" spans="1:15" x14ac:dyDescent="0.3">
      <c r="B70" s="14" t="s">
        <v>128</v>
      </c>
      <c r="C70" s="15">
        <f t="shared" ref="C70:O70" si="3">SUM(C43:C69)</f>
        <v>345965</v>
      </c>
      <c r="D70" s="15">
        <f t="shared" si="3"/>
        <v>415654</v>
      </c>
      <c r="E70" s="15">
        <f t="shared" si="3"/>
        <v>343456</v>
      </c>
      <c r="F70" s="15">
        <f t="shared" si="3"/>
        <v>415505</v>
      </c>
      <c r="G70" s="15">
        <f t="shared" si="3"/>
        <v>445660</v>
      </c>
      <c r="H70" s="15">
        <f t="shared" si="3"/>
        <v>422049</v>
      </c>
      <c r="I70" s="15">
        <f t="shared" si="3"/>
        <v>0</v>
      </c>
      <c r="J70" s="15">
        <f t="shared" si="3"/>
        <v>0</v>
      </c>
      <c r="K70" s="15">
        <f t="shared" si="3"/>
        <v>0</v>
      </c>
      <c r="L70" s="15">
        <f t="shared" si="3"/>
        <v>0</v>
      </c>
      <c r="M70" s="15">
        <f t="shared" si="3"/>
        <v>0</v>
      </c>
      <c r="N70" s="15">
        <f t="shared" si="3"/>
        <v>0</v>
      </c>
      <c r="O70" s="15">
        <f t="shared" si="3"/>
        <v>2388289</v>
      </c>
    </row>
    <row r="72" spans="1:15" x14ac:dyDescent="0.3">
      <c r="A72" s="21"/>
    </row>
  </sheetData>
  <autoFilter ref="A5:O38" xr:uid="{00000000-0001-0000-0100-000000000000}">
    <filterColumn colId="1">
      <filters>
        <filter val="1 - Board Cut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C2C88-DBC4-4FA1-80ED-5DF704801E13}">
  <dimension ref="A1:K74"/>
  <sheetViews>
    <sheetView showGridLines="0" zoomScaleNormal="100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B7" sqref="B7"/>
    </sheetView>
  </sheetViews>
  <sheetFormatPr defaultColWidth="8.6640625" defaultRowHeight="14.4" x14ac:dyDescent="0.3"/>
  <cols>
    <col min="1" max="1" width="34" customWidth="1"/>
    <col min="2" max="2" width="36.77734375" bestFit="1" customWidth="1"/>
    <col min="3" max="3" width="25.88671875" bestFit="1" customWidth="1"/>
    <col min="4" max="4" width="8.44140625" bestFit="1" customWidth="1"/>
    <col min="5" max="7" width="11" customWidth="1"/>
    <col min="8" max="9" width="13" customWidth="1"/>
    <col min="10" max="11" width="10" customWidth="1"/>
  </cols>
  <sheetData>
    <row r="1" spans="1:11" ht="19.2" x14ac:dyDescent="0.35">
      <c r="A1" s="66" t="s">
        <v>137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ht="43.5" customHeight="1" x14ac:dyDescent="0.3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</row>
    <row r="3" spans="1:11" x14ac:dyDescent="0.3">
      <c r="A3" s="30" t="s">
        <v>138</v>
      </c>
      <c r="B3" s="31" t="s">
        <v>139</v>
      </c>
      <c r="C3" s="68" t="s">
        <v>140</v>
      </c>
      <c r="D3" s="68"/>
      <c r="E3" s="69" t="s">
        <v>141</v>
      </c>
      <c r="F3" s="69"/>
      <c r="G3" s="69"/>
      <c r="H3" s="69"/>
    </row>
    <row r="5" spans="1:11" ht="15.6" x14ac:dyDescent="0.3">
      <c r="A5" s="65" t="s">
        <v>142</v>
      </c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1" ht="27.6" x14ac:dyDescent="0.3">
      <c r="A6" s="32" t="s">
        <v>46</v>
      </c>
      <c r="B6" s="32" t="s">
        <v>47</v>
      </c>
      <c r="C6" s="33" t="s">
        <v>17</v>
      </c>
      <c r="D6" s="33" t="s">
        <v>19</v>
      </c>
      <c r="E6" s="33" t="s">
        <v>21</v>
      </c>
      <c r="F6" s="33" t="s">
        <v>23</v>
      </c>
      <c r="G6" s="33" t="s">
        <v>25</v>
      </c>
      <c r="H6" s="33" t="s">
        <v>27</v>
      </c>
      <c r="I6" s="33" t="s">
        <v>143</v>
      </c>
      <c r="J6" s="33" t="s">
        <v>144</v>
      </c>
      <c r="K6" s="33" t="s">
        <v>145</v>
      </c>
    </row>
    <row r="7" spans="1:11" x14ac:dyDescent="0.3">
      <c r="A7" s="34" t="s">
        <v>48</v>
      </c>
      <c r="B7" s="34" t="s">
        <v>49</v>
      </c>
      <c r="C7" s="45">
        <f>'[1]Source Data'!C6</f>
        <v>1754</v>
      </c>
      <c r="D7" s="45">
        <f>'[1]Source Data'!D6</f>
        <v>1307</v>
      </c>
      <c r="E7" s="45">
        <f>'[1]Source Data'!E6</f>
        <v>1867</v>
      </c>
      <c r="F7" s="45">
        <f>'[1]Source Data'!F6</f>
        <v>1830</v>
      </c>
      <c r="G7" s="45">
        <f>'[1]Source Data'!G6</f>
        <v>2150</v>
      </c>
      <c r="H7" s="45">
        <f>'[1]Source Data'!H6</f>
        <v>2440</v>
      </c>
      <c r="I7" s="36">
        <f>AVERAGE('[1]Source Data'!C6:H6)</f>
        <v>1891.3333333333333</v>
      </c>
      <c r="J7" s="35">
        <f t="shared" ref="J7:J38" si="0">MIN(C7:H7)</f>
        <v>1307</v>
      </c>
      <c r="K7" s="35">
        <f t="shared" ref="K7:K38" si="1">MAX(C7:H7)</f>
        <v>2440</v>
      </c>
    </row>
    <row r="8" spans="1:11" x14ac:dyDescent="0.3">
      <c r="A8" s="34" t="s">
        <v>50</v>
      </c>
      <c r="B8" s="34" t="s">
        <v>49</v>
      </c>
      <c r="C8" s="45">
        <f>'[1]Source Data'!C7</f>
        <v>5006</v>
      </c>
      <c r="D8" s="45">
        <f>'[1]Source Data'!D7</f>
        <v>3965</v>
      </c>
      <c r="E8" s="45">
        <f>'[1]Source Data'!E7</f>
        <v>5848</v>
      </c>
      <c r="F8" s="45">
        <f>'[1]Source Data'!F7</f>
        <v>6307</v>
      </c>
      <c r="G8" s="45">
        <f>'[1]Source Data'!G7</f>
        <v>7928</v>
      </c>
      <c r="H8" s="45">
        <f>'[1]Source Data'!H7</f>
        <v>7911</v>
      </c>
      <c r="I8" s="36">
        <f>AVERAGE('[1]Source Data'!C7:H7)</f>
        <v>6160.833333333333</v>
      </c>
      <c r="J8" s="35">
        <f t="shared" si="0"/>
        <v>3965</v>
      </c>
      <c r="K8" s="35">
        <f t="shared" si="1"/>
        <v>7928</v>
      </c>
    </row>
    <row r="9" spans="1:11" x14ac:dyDescent="0.3">
      <c r="A9" s="34" t="s">
        <v>51</v>
      </c>
      <c r="B9" s="34" t="s">
        <v>52</v>
      </c>
      <c r="C9" s="45">
        <f>'[1]Source Data'!C8</f>
        <v>15401</v>
      </c>
      <c r="D9" s="45">
        <f>'[1]Source Data'!D8</f>
        <v>14614</v>
      </c>
      <c r="E9" s="45">
        <f>'[1]Source Data'!E8</f>
        <v>17959</v>
      </c>
      <c r="F9" s="45">
        <f>'[1]Source Data'!F8</f>
        <v>7155</v>
      </c>
      <c r="G9" s="45">
        <f>'[1]Source Data'!G8</f>
        <v>13269</v>
      </c>
      <c r="H9" s="45">
        <f>'[1]Source Data'!H8</f>
        <v>7259</v>
      </c>
      <c r="I9" s="36">
        <f>AVERAGE('[1]Source Data'!C8:H8)</f>
        <v>12609.5</v>
      </c>
      <c r="J9" s="35">
        <f t="shared" si="0"/>
        <v>7155</v>
      </c>
      <c r="K9" s="35">
        <f t="shared" si="1"/>
        <v>17959</v>
      </c>
    </row>
    <row r="10" spans="1:11" x14ac:dyDescent="0.3">
      <c r="A10" s="34" t="s">
        <v>53</v>
      </c>
      <c r="B10" s="34" t="s">
        <v>54</v>
      </c>
      <c r="C10" s="45">
        <f>'[1]Source Data'!C9</f>
        <v>3665</v>
      </c>
      <c r="D10" s="45">
        <f>'[1]Source Data'!D9</f>
        <v>2570</v>
      </c>
      <c r="E10" s="45">
        <f>'[1]Source Data'!E9</f>
        <v>3636</v>
      </c>
      <c r="F10" s="45">
        <f>'[1]Source Data'!F9</f>
        <v>3004</v>
      </c>
      <c r="G10" s="45">
        <f>'[1]Source Data'!G9</f>
        <v>4236</v>
      </c>
      <c r="H10" s="45">
        <f>'[1]Source Data'!H9</f>
        <v>4272</v>
      </c>
      <c r="I10" s="36">
        <f>AVERAGE('[1]Source Data'!C9:H9)</f>
        <v>3563.8333333333335</v>
      </c>
      <c r="J10" s="35">
        <f t="shared" si="0"/>
        <v>2570</v>
      </c>
      <c r="K10" s="35">
        <f t="shared" si="1"/>
        <v>4272</v>
      </c>
    </row>
    <row r="11" spans="1:11" x14ac:dyDescent="0.3">
      <c r="A11" s="34" t="s">
        <v>55</v>
      </c>
      <c r="B11" s="34" t="s">
        <v>56</v>
      </c>
      <c r="C11" s="45">
        <f>'[1]Source Data'!C10</f>
        <v>43</v>
      </c>
      <c r="D11" s="45">
        <f>'[1]Source Data'!D10</f>
        <v>28</v>
      </c>
      <c r="E11" s="45">
        <f>'[1]Source Data'!E10</f>
        <v>52</v>
      </c>
      <c r="F11" s="45">
        <f>'[1]Source Data'!F10</f>
        <v>50</v>
      </c>
      <c r="G11" s="45">
        <f>'[1]Source Data'!G10</f>
        <v>38</v>
      </c>
      <c r="H11" s="45">
        <f>'[1]Source Data'!H10</f>
        <v>29</v>
      </c>
      <c r="I11" s="36">
        <f>AVERAGE('[1]Source Data'!C10:H10)</f>
        <v>40</v>
      </c>
      <c r="J11" s="35">
        <f t="shared" si="0"/>
        <v>28</v>
      </c>
      <c r="K11" s="35">
        <f t="shared" si="1"/>
        <v>52</v>
      </c>
    </row>
    <row r="12" spans="1:11" x14ac:dyDescent="0.3">
      <c r="A12" s="34" t="s">
        <v>57</v>
      </c>
      <c r="B12" s="34" t="s">
        <v>56</v>
      </c>
      <c r="C12" s="45">
        <f>'[1]Source Data'!C11</f>
        <v>0</v>
      </c>
      <c r="D12" s="45">
        <f>'[1]Source Data'!D11</f>
        <v>1</v>
      </c>
      <c r="E12" s="45">
        <f>'[1]Source Data'!E11</f>
        <v>1</v>
      </c>
      <c r="F12" s="45">
        <f>'[1]Source Data'!F11</f>
        <v>1</v>
      </c>
      <c r="G12" s="45">
        <f>'[1]Source Data'!G11</f>
        <v>1</v>
      </c>
      <c r="H12" s="45">
        <f>'[1]Source Data'!H11</f>
        <v>1</v>
      </c>
      <c r="I12" s="36">
        <f>AVERAGE('[1]Source Data'!C11:H11)</f>
        <v>0.83333333333333337</v>
      </c>
      <c r="J12" s="35">
        <f t="shared" si="0"/>
        <v>0</v>
      </c>
      <c r="K12" s="35">
        <f t="shared" si="1"/>
        <v>1</v>
      </c>
    </row>
    <row r="13" spans="1:11" x14ac:dyDescent="0.3">
      <c r="A13" s="34" t="s">
        <v>58</v>
      </c>
      <c r="B13" s="34" t="s">
        <v>56</v>
      </c>
      <c r="C13" s="45">
        <f>'[1]Source Data'!C12</f>
        <v>2928</v>
      </c>
      <c r="D13" s="45">
        <f>'[1]Source Data'!D12</f>
        <v>2715</v>
      </c>
      <c r="E13" s="45">
        <f>'[1]Source Data'!E12</f>
        <v>3736</v>
      </c>
      <c r="F13" s="45">
        <f>'[1]Source Data'!F12</f>
        <v>3038</v>
      </c>
      <c r="G13" s="45">
        <f>'[1]Source Data'!G12</f>
        <v>2888</v>
      </c>
      <c r="H13" s="45">
        <f>'[1]Source Data'!H12</f>
        <v>2851</v>
      </c>
      <c r="I13" s="36">
        <f>AVERAGE('[1]Source Data'!C12:H12)</f>
        <v>3026</v>
      </c>
      <c r="J13" s="35">
        <f t="shared" si="0"/>
        <v>2715</v>
      </c>
      <c r="K13" s="35">
        <f t="shared" si="1"/>
        <v>3736</v>
      </c>
    </row>
    <row r="14" spans="1:11" x14ac:dyDescent="0.3">
      <c r="A14" s="34" t="s">
        <v>59</v>
      </c>
      <c r="B14" s="34" t="s">
        <v>60</v>
      </c>
      <c r="C14" s="45">
        <f>'[1]Source Data'!C13</f>
        <v>0</v>
      </c>
      <c r="D14" s="45">
        <f>'[1]Source Data'!D13</f>
        <v>0</v>
      </c>
      <c r="E14" s="45">
        <f>'[1]Source Data'!E13</f>
        <v>0</v>
      </c>
      <c r="F14" s="45">
        <f>'[1]Source Data'!F13</f>
        <v>0</v>
      </c>
      <c r="G14" s="45">
        <f>'[1]Source Data'!G13</f>
        <v>0</v>
      </c>
      <c r="H14" s="45">
        <f>'[1]Source Data'!H13</f>
        <v>1749</v>
      </c>
      <c r="I14" s="36">
        <f>AVERAGE('[1]Source Data'!C13:H13)</f>
        <v>291.5</v>
      </c>
      <c r="J14" s="35">
        <f t="shared" si="0"/>
        <v>0</v>
      </c>
      <c r="K14" s="35">
        <f t="shared" si="1"/>
        <v>1749</v>
      </c>
    </row>
    <row r="15" spans="1:11" x14ac:dyDescent="0.3">
      <c r="A15" s="34" t="s">
        <v>61</v>
      </c>
      <c r="B15" s="34" t="s">
        <v>62</v>
      </c>
      <c r="C15" s="45">
        <f>'[1]Source Data'!C14</f>
        <v>1412</v>
      </c>
      <c r="D15" s="45">
        <f>'[1]Source Data'!D14</f>
        <v>1752</v>
      </c>
      <c r="E15" s="45">
        <f>'[1]Source Data'!E14</f>
        <v>2247</v>
      </c>
      <c r="F15" s="45">
        <f>'[1]Source Data'!F14</f>
        <v>2334</v>
      </c>
      <c r="G15" s="45">
        <f>'[1]Source Data'!G14</f>
        <v>2722</v>
      </c>
      <c r="H15" s="45">
        <f>'[1]Source Data'!H14</f>
        <v>2842</v>
      </c>
      <c r="I15" s="36">
        <f>AVERAGE('[1]Source Data'!C14:H14)</f>
        <v>2218.1666666666665</v>
      </c>
      <c r="J15" s="35">
        <f t="shared" si="0"/>
        <v>1412</v>
      </c>
      <c r="K15" s="35">
        <f t="shared" si="1"/>
        <v>2842</v>
      </c>
    </row>
    <row r="16" spans="1:11" x14ac:dyDescent="0.3">
      <c r="A16" s="34" t="s">
        <v>63</v>
      </c>
      <c r="B16" s="34" t="s">
        <v>62</v>
      </c>
      <c r="C16" s="45">
        <f>'[1]Source Data'!C15</f>
        <v>1481</v>
      </c>
      <c r="D16" s="45">
        <f>'[1]Source Data'!D15</f>
        <v>2008</v>
      </c>
      <c r="E16" s="45">
        <f>'[1]Source Data'!E15</f>
        <v>2403</v>
      </c>
      <c r="F16" s="45">
        <f>'[1]Source Data'!F15</f>
        <v>2157</v>
      </c>
      <c r="G16" s="45">
        <f>'[1]Source Data'!G15</f>
        <v>2456</v>
      </c>
      <c r="H16" s="45">
        <f>'[1]Source Data'!H15</f>
        <v>2723</v>
      </c>
      <c r="I16" s="36">
        <f>AVERAGE('[1]Source Data'!C15:H15)</f>
        <v>2204.6666666666665</v>
      </c>
      <c r="J16" s="35">
        <f t="shared" si="0"/>
        <v>1481</v>
      </c>
      <c r="K16" s="35">
        <f t="shared" si="1"/>
        <v>2723</v>
      </c>
    </row>
    <row r="17" spans="1:11" x14ac:dyDescent="0.3">
      <c r="A17" s="34" t="s">
        <v>64</v>
      </c>
      <c r="B17" s="34" t="s">
        <v>65</v>
      </c>
      <c r="C17" s="45">
        <f>'[1]Source Data'!C16</f>
        <v>2817</v>
      </c>
      <c r="D17" s="45">
        <f>'[1]Source Data'!D16</f>
        <v>2874</v>
      </c>
      <c r="E17" s="45">
        <f>'[1]Source Data'!E16</f>
        <v>2847</v>
      </c>
      <c r="F17" s="45">
        <f>'[1]Source Data'!F16</f>
        <v>2668</v>
      </c>
      <c r="G17" s="45">
        <f>'[1]Source Data'!G16</f>
        <v>3871</v>
      </c>
      <c r="H17" s="45">
        <f>'[1]Source Data'!H16</f>
        <v>3463</v>
      </c>
      <c r="I17" s="36">
        <f>AVERAGE('[1]Source Data'!C16:H16)</f>
        <v>3090</v>
      </c>
      <c r="J17" s="35">
        <f t="shared" si="0"/>
        <v>2668</v>
      </c>
      <c r="K17" s="35">
        <f t="shared" si="1"/>
        <v>3871</v>
      </c>
    </row>
    <row r="18" spans="1:11" x14ac:dyDescent="0.3">
      <c r="A18" s="34" t="s">
        <v>66</v>
      </c>
      <c r="B18" s="34" t="s">
        <v>67</v>
      </c>
      <c r="C18" s="45">
        <f>'[1]Source Data'!C17</f>
        <v>0</v>
      </c>
      <c r="D18" s="45">
        <f>'[1]Source Data'!D17</f>
        <v>81</v>
      </c>
      <c r="E18" s="45">
        <f>'[1]Source Data'!E17</f>
        <v>0</v>
      </c>
      <c r="F18" s="45">
        <f>'[1]Source Data'!F17</f>
        <v>0</v>
      </c>
      <c r="G18" s="45">
        <f>'[1]Source Data'!G17</f>
        <v>355</v>
      </c>
      <c r="H18" s="45">
        <f>'[1]Source Data'!H17</f>
        <v>552</v>
      </c>
      <c r="I18" s="36">
        <f>AVERAGE('[1]Source Data'!C17:H17)</f>
        <v>164.66666666666666</v>
      </c>
      <c r="J18" s="35">
        <f t="shared" si="0"/>
        <v>0</v>
      </c>
      <c r="K18" s="35">
        <f t="shared" si="1"/>
        <v>552</v>
      </c>
    </row>
    <row r="19" spans="1:11" x14ac:dyDescent="0.3">
      <c r="A19" s="34" t="s">
        <v>68</v>
      </c>
      <c r="B19" s="34" t="s">
        <v>69</v>
      </c>
      <c r="C19" s="45">
        <f>'[1]Source Data'!C18</f>
        <v>1555</v>
      </c>
      <c r="D19" s="45">
        <f>'[1]Source Data'!D18</f>
        <v>2099</v>
      </c>
      <c r="E19" s="45">
        <f>'[1]Source Data'!E18</f>
        <v>831</v>
      </c>
      <c r="F19" s="45">
        <f>'[1]Source Data'!F18</f>
        <v>1788</v>
      </c>
      <c r="G19" s="45">
        <f>'[1]Source Data'!G18</f>
        <v>1950</v>
      </c>
      <c r="H19" s="45">
        <f>'[1]Source Data'!H18</f>
        <v>1830</v>
      </c>
      <c r="I19" s="36">
        <f>AVERAGE('[1]Source Data'!C18:H18)</f>
        <v>1675.5</v>
      </c>
      <c r="J19" s="35">
        <f t="shared" si="0"/>
        <v>831</v>
      </c>
      <c r="K19" s="35">
        <f t="shared" si="1"/>
        <v>2099</v>
      </c>
    </row>
    <row r="20" spans="1:11" x14ac:dyDescent="0.3">
      <c r="A20" s="34" t="s">
        <v>70</v>
      </c>
      <c r="B20" s="34" t="s">
        <v>71</v>
      </c>
      <c r="C20" s="45">
        <f>'[1]Source Data'!C19</f>
        <v>5101</v>
      </c>
      <c r="D20" s="45">
        <f>'[1]Source Data'!D19</f>
        <v>7546</v>
      </c>
      <c r="E20" s="45">
        <f>'[1]Source Data'!E19</f>
        <v>3963</v>
      </c>
      <c r="F20" s="45">
        <f>'[1]Source Data'!F19</f>
        <v>4479</v>
      </c>
      <c r="G20" s="45">
        <f>'[1]Source Data'!G19</f>
        <v>5363</v>
      </c>
      <c r="H20" s="45">
        <f>'[1]Source Data'!H19</f>
        <v>3742</v>
      </c>
      <c r="I20" s="36">
        <f>AVERAGE('[1]Source Data'!C19:H19)</f>
        <v>5032.333333333333</v>
      </c>
      <c r="J20" s="35">
        <f t="shared" si="0"/>
        <v>3742</v>
      </c>
      <c r="K20" s="35">
        <f t="shared" si="1"/>
        <v>7546</v>
      </c>
    </row>
    <row r="21" spans="1:11" x14ac:dyDescent="0.3">
      <c r="A21" s="34" t="s">
        <v>72</v>
      </c>
      <c r="B21" s="34" t="s">
        <v>71</v>
      </c>
      <c r="C21" s="45">
        <f>'[1]Source Data'!C20</f>
        <v>1886</v>
      </c>
      <c r="D21" s="45">
        <f>'[1]Source Data'!D20</f>
        <v>1373</v>
      </c>
      <c r="E21" s="45">
        <f>'[1]Source Data'!E20</f>
        <v>552</v>
      </c>
      <c r="F21" s="45">
        <f>'[1]Source Data'!F20</f>
        <v>862</v>
      </c>
      <c r="G21" s="45">
        <f>'[1]Source Data'!G20</f>
        <v>789</v>
      </c>
      <c r="H21" s="45">
        <f>'[1]Source Data'!H20</f>
        <v>441</v>
      </c>
      <c r="I21" s="36">
        <f>AVERAGE('[1]Source Data'!C20:H20)</f>
        <v>983.83333333333337</v>
      </c>
      <c r="J21" s="35">
        <f t="shared" si="0"/>
        <v>441</v>
      </c>
      <c r="K21" s="35">
        <f t="shared" si="1"/>
        <v>1886</v>
      </c>
    </row>
    <row r="22" spans="1:11" x14ac:dyDescent="0.3">
      <c r="A22" s="34" t="s">
        <v>73</v>
      </c>
      <c r="B22" s="34" t="s">
        <v>74</v>
      </c>
      <c r="C22" s="45">
        <f>'[1]Source Data'!C21</f>
        <v>3933</v>
      </c>
      <c r="D22" s="45">
        <f>'[1]Source Data'!D21</f>
        <v>5000</v>
      </c>
      <c r="E22" s="45">
        <f>'[1]Source Data'!E21</f>
        <v>2278</v>
      </c>
      <c r="F22" s="45">
        <f>'[1]Source Data'!F21</f>
        <v>3449</v>
      </c>
      <c r="G22" s="45">
        <f>'[1]Source Data'!G21</f>
        <v>3054</v>
      </c>
      <c r="H22" s="45">
        <f>'[1]Source Data'!H21</f>
        <v>2427</v>
      </c>
      <c r="I22" s="36">
        <f>AVERAGE('[1]Source Data'!C21:H21)</f>
        <v>3356.8333333333335</v>
      </c>
      <c r="J22" s="35">
        <f t="shared" si="0"/>
        <v>2278</v>
      </c>
      <c r="K22" s="35">
        <f t="shared" si="1"/>
        <v>5000</v>
      </c>
    </row>
    <row r="23" spans="1:11" x14ac:dyDescent="0.3">
      <c r="A23" s="34" t="s">
        <v>75</v>
      </c>
      <c r="B23" s="34" t="s">
        <v>74</v>
      </c>
      <c r="C23" s="45">
        <f>'[1]Source Data'!C22</f>
        <v>11726</v>
      </c>
      <c r="D23" s="45">
        <f>'[1]Source Data'!D22</f>
        <v>9366</v>
      </c>
      <c r="E23" s="45">
        <f>'[1]Source Data'!E22</f>
        <v>12870</v>
      </c>
      <c r="F23" s="45">
        <f>'[1]Source Data'!F22</f>
        <v>11393</v>
      </c>
      <c r="G23" s="45">
        <f>'[1]Source Data'!G22</f>
        <v>14966</v>
      </c>
      <c r="H23" s="45">
        <f>'[1]Source Data'!H22</f>
        <v>13690</v>
      </c>
      <c r="I23" s="36">
        <f>AVERAGE('[1]Source Data'!C22:H22)</f>
        <v>12335.166666666666</v>
      </c>
      <c r="J23" s="35">
        <f t="shared" si="0"/>
        <v>9366</v>
      </c>
      <c r="K23" s="35">
        <f t="shared" si="1"/>
        <v>14966</v>
      </c>
    </row>
    <row r="24" spans="1:11" x14ac:dyDescent="0.3">
      <c r="A24" s="34" t="s">
        <v>76</v>
      </c>
      <c r="B24" s="34" t="s">
        <v>49</v>
      </c>
      <c r="C24" s="45">
        <f>'[1]Source Data'!C23</f>
        <v>969</v>
      </c>
      <c r="D24" s="45">
        <f>'[1]Source Data'!D23</f>
        <v>734</v>
      </c>
      <c r="E24" s="45">
        <f>'[1]Source Data'!E23</f>
        <v>1036</v>
      </c>
      <c r="F24" s="45">
        <f>'[1]Source Data'!F23</f>
        <v>821</v>
      </c>
      <c r="G24" s="45">
        <f>'[1]Source Data'!G23</f>
        <v>1009</v>
      </c>
      <c r="H24" s="45">
        <f>'[1]Source Data'!H23</f>
        <v>1036</v>
      </c>
      <c r="I24" s="36">
        <f>AVERAGE('[1]Source Data'!C23:H23)</f>
        <v>934.16666666666663</v>
      </c>
      <c r="J24" s="35">
        <f t="shared" si="0"/>
        <v>734</v>
      </c>
      <c r="K24" s="35">
        <f t="shared" si="1"/>
        <v>1036</v>
      </c>
    </row>
    <row r="25" spans="1:11" x14ac:dyDescent="0.3">
      <c r="A25" s="34" t="s">
        <v>77</v>
      </c>
      <c r="B25" s="34" t="s">
        <v>49</v>
      </c>
      <c r="C25" s="45">
        <f>'[1]Source Data'!C24</f>
        <v>7193</v>
      </c>
      <c r="D25" s="45">
        <f>'[1]Source Data'!D24</f>
        <v>5917</v>
      </c>
      <c r="E25" s="45">
        <f>'[1]Source Data'!E24</f>
        <v>8791</v>
      </c>
      <c r="F25" s="45">
        <f>'[1]Source Data'!F24</f>
        <v>7347</v>
      </c>
      <c r="G25" s="45">
        <f>'[1]Source Data'!G24</f>
        <v>9001</v>
      </c>
      <c r="H25" s="45">
        <f>'[1]Source Data'!H24</f>
        <v>8477</v>
      </c>
      <c r="I25" s="36">
        <f>AVERAGE('[1]Source Data'!C24:H24)</f>
        <v>7787.666666666667</v>
      </c>
      <c r="J25" s="35">
        <f t="shared" si="0"/>
        <v>5917</v>
      </c>
      <c r="K25" s="35">
        <f t="shared" si="1"/>
        <v>9001</v>
      </c>
    </row>
    <row r="26" spans="1:11" x14ac:dyDescent="0.3">
      <c r="A26" s="34" t="s">
        <v>78</v>
      </c>
      <c r="B26" s="34" t="s">
        <v>49</v>
      </c>
      <c r="C26" s="45">
        <f>'[1]Source Data'!C25</f>
        <v>3229</v>
      </c>
      <c r="D26" s="45">
        <f>'[1]Source Data'!D25</f>
        <v>2617</v>
      </c>
      <c r="E26" s="45">
        <f>'[1]Source Data'!E25</f>
        <v>4051</v>
      </c>
      <c r="F26" s="45">
        <f>'[1]Source Data'!F25</f>
        <v>3752</v>
      </c>
      <c r="G26" s="45">
        <f>'[1]Source Data'!G25</f>
        <v>4908</v>
      </c>
      <c r="H26" s="45">
        <f>'[1]Source Data'!H25</f>
        <v>5729</v>
      </c>
      <c r="I26" s="36">
        <f>AVERAGE('[1]Source Data'!C25:H25)</f>
        <v>4047.6666666666665</v>
      </c>
      <c r="J26" s="35">
        <f t="shared" si="0"/>
        <v>2617</v>
      </c>
      <c r="K26" s="35">
        <f t="shared" si="1"/>
        <v>5729</v>
      </c>
    </row>
    <row r="27" spans="1:11" x14ac:dyDescent="0.3">
      <c r="A27" s="34" t="s">
        <v>79</v>
      </c>
      <c r="B27" s="34" t="s">
        <v>80</v>
      </c>
      <c r="C27" s="45">
        <f>'[1]Source Data'!C26</f>
        <v>5581</v>
      </c>
      <c r="D27" s="45">
        <f>'[1]Source Data'!D26</f>
        <v>4968</v>
      </c>
      <c r="E27" s="45">
        <f>'[1]Source Data'!E26</f>
        <v>6027</v>
      </c>
      <c r="F27" s="45">
        <f>'[1]Source Data'!F26</f>
        <v>5123</v>
      </c>
      <c r="G27" s="45">
        <f>'[1]Source Data'!G26</f>
        <v>5731</v>
      </c>
      <c r="H27" s="45">
        <f>'[1]Source Data'!H26</f>
        <v>5440</v>
      </c>
      <c r="I27" s="36">
        <f>AVERAGE('[1]Source Data'!C26:H26)</f>
        <v>5478.333333333333</v>
      </c>
      <c r="J27" s="35">
        <f t="shared" si="0"/>
        <v>4968</v>
      </c>
      <c r="K27" s="35">
        <f t="shared" si="1"/>
        <v>6027</v>
      </c>
    </row>
    <row r="28" spans="1:11" x14ac:dyDescent="0.3">
      <c r="A28" s="34" t="s">
        <v>81</v>
      </c>
      <c r="B28" s="34" t="s">
        <v>82</v>
      </c>
      <c r="C28" s="45">
        <f>'[1]Source Data'!C27</f>
        <v>6525</v>
      </c>
      <c r="D28" s="45">
        <f>'[1]Source Data'!D27</f>
        <v>7712</v>
      </c>
      <c r="E28" s="45">
        <f>'[1]Source Data'!E27</f>
        <v>6335</v>
      </c>
      <c r="F28" s="45">
        <f>'[1]Source Data'!F27</f>
        <v>12478</v>
      </c>
      <c r="G28" s="45">
        <f>'[1]Source Data'!G27</f>
        <v>12445</v>
      </c>
      <c r="H28" s="45">
        <f>'[1]Source Data'!H27</f>
        <v>14609</v>
      </c>
      <c r="I28" s="36">
        <f>AVERAGE('[1]Source Data'!C27:H27)</f>
        <v>10017.333333333334</v>
      </c>
      <c r="J28" s="35">
        <f t="shared" si="0"/>
        <v>6335</v>
      </c>
      <c r="K28" s="35">
        <f t="shared" si="1"/>
        <v>14609</v>
      </c>
    </row>
    <row r="29" spans="1:11" x14ac:dyDescent="0.3">
      <c r="A29" s="34" t="s">
        <v>83</v>
      </c>
      <c r="B29" s="34" t="s">
        <v>80</v>
      </c>
      <c r="C29" s="45">
        <f>'[1]Source Data'!C28</f>
        <v>5935</v>
      </c>
      <c r="D29" s="45">
        <f>'[1]Source Data'!D28</f>
        <v>3853</v>
      </c>
      <c r="E29" s="45">
        <f>'[1]Source Data'!E28</f>
        <v>5879</v>
      </c>
      <c r="F29" s="45">
        <f>'[1]Source Data'!F28</f>
        <v>3370</v>
      </c>
      <c r="G29" s="45">
        <f>'[1]Source Data'!G28</f>
        <v>4984</v>
      </c>
      <c r="H29" s="45">
        <f>'[1]Source Data'!H28</f>
        <v>4215</v>
      </c>
      <c r="I29" s="36">
        <f>AVERAGE('[1]Source Data'!C28:H28)</f>
        <v>4706</v>
      </c>
      <c r="J29" s="35">
        <f t="shared" si="0"/>
        <v>3370</v>
      </c>
      <c r="K29" s="35">
        <f t="shared" si="1"/>
        <v>5935</v>
      </c>
    </row>
    <row r="30" spans="1:11" x14ac:dyDescent="0.3">
      <c r="A30" s="34" t="s">
        <v>84</v>
      </c>
      <c r="B30" s="34" t="s">
        <v>80</v>
      </c>
      <c r="C30" s="45">
        <f>'[1]Source Data'!C29</f>
        <v>13144</v>
      </c>
      <c r="D30" s="45">
        <f>'[1]Source Data'!D29</f>
        <v>7730</v>
      </c>
      <c r="E30" s="45">
        <f>'[1]Source Data'!E29</f>
        <v>13096</v>
      </c>
      <c r="F30" s="45">
        <f>'[1]Source Data'!F29</f>
        <v>7567</v>
      </c>
      <c r="G30" s="45">
        <f>'[1]Source Data'!G29</f>
        <v>11238</v>
      </c>
      <c r="H30" s="45">
        <f>'[1]Source Data'!H29</f>
        <v>9606</v>
      </c>
      <c r="I30" s="36">
        <f>AVERAGE('[1]Source Data'!C29:H29)</f>
        <v>10396.833333333334</v>
      </c>
      <c r="J30" s="35">
        <f t="shared" si="0"/>
        <v>7567</v>
      </c>
      <c r="K30" s="35">
        <f t="shared" si="1"/>
        <v>13144</v>
      </c>
    </row>
    <row r="31" spans="1:11" x14ac:dyDescent="0.3">
      <c r="A31" s="34" t="s">
        <v>85</v>
      </c>
      <c r="B31" s="34" t="s">
        <v>86</v>
      </c>
      <c r="C31" s="45">
        <f>'[1]Source Data'!C30</f>
        <v>43743</v>
      </c>
      <c r="D31" s="45">
        <f>'[1]Source Data'!D30</f>
        <v>28737</v>
      </c>
      <c r="E31" s="45">
        <f>'[1]Source Data'!E30</f>
        <v>42298</v>
      </c>
      <c r="F31" s="45">
        <f>'[1]Source Data'!F30</f>
        <v>26636</v>
      </c>
      <c r="G31" s="45">
        <f>'[1]Source Data'!G30</f>
        <v>34334</v>
      </c>
      <c r="H31" s="45">
        <f>'[1]Source Data'!H30</f>
        <v>31993</v>
      </c>
      <c r="I31" s="36">
        <f>AVERAGE('[1]Source Data'!C30:H30)</f>
        <v>34623.5</v>
      </c>
      <c r="J31" s="35">
        <f t="shared" si="0"/>
        <v>26636</v>
      </c>
      <c r="K31" s="35">
        <f t="shared" si="1"/>
        <v>43743</v>
      </c>
    </row>
    <row r="32" spans="1:11" x14ac:dyDescent="0.3">
      <c r="A32" s="34" t="s">
        <v>87</v>
      </c>
      <c r="B32" s="34" t="s">
        <v>88</v>
      </c>
      <c r="C32" s="45">
        <f>'[1]Source Data'!C31</f>
        <v>37542</v>
      </c>
      <c r="D32" s="45">
        <f>'[1]Source Data'!D31</f>
        <v>28960</v>
      </c>
      <c r="E32" s="45">
        <f>'[1]Source Data'!E31</f>
        <v>35629</v>
      </c>
      <c r="F32" s="45">
        <f>'[1]Source Data'!F31</f>
        <v>29615</v>
      </c>
      <c r="G32" s="45">
        <f>'[1]Source Data'!G31</f>
        <v>37152</v>
      </c>
      <c r="H32" s="45">
        <f>'[1]Source Data'!H31</f>
        <v>32682</v>
      </c>
      <c r="I32" s="36">
        <f>AVERAGE('[1]Source Data'!C31:H31)</f>
        <v>33596.666666666664</v>
      </c>
      <c r="J32" s="35">
        <f t="shared" si="0"/>
        <v>28960</v>
      </c>
      <c r="K32" s="35">
        <f t="shared" si="1"/>
        <v>37542</v>
      </c>
    </row>
    <row r="33" spans="1:11" x14ac:dyDescent="0.3">
      <c r="A33" s="34" t="s">
        <v>89</v>
      </c>
      <c r="B33" s="34" t="s">
        <v>54</v>
      </c>
      <c r="C33" s="45">
        <f>'[1]Source Data'!C32</f>
        <v>32383</v>
      </c>
      <c r="D33" s="45">
        <f>'[1]Source Data'!D32</f>
        <v>27935</v>
      </c>
      <c r="E33" s="45">
        <f>'[1]Source Data'!E32</f>
        <v>33749</v>
      </c>
      <c r="F33" s="45">
        <f>'[1]Source Data'!F32</f>
        <v>27756</v>
      </c>
      <c r="G33" s="45">
        <f>'[1]Source Data'!G32</f>
        <v>36676</v>
      </c>
      <c r="H33" s="45">
        <f>'[1]Source Data'!H32</f>
        <v>31430</v>
      </c>
      <c r="I33" s="36">
        <f>AVERAGE('[1]Source Data'!C32:H32)</f>
        <v>31654.833333333332</v>
      </c>
      <c r="J33" s="35">
        <f t="shared" si="0"/>
        <v>27756</v>
      </c>
      <c r="K33" s="35">
        <f t="shared" si="1"/>
        <v>36676</v>
      </c>
    </row>
    <row r="34" spans="1:11" x14ac:dyDescent="0.3">
      <c r="A34" s="34" t="s">
        <v>90</v>
      </c>
      <c r="B34" s="34" t="s">
        <v>54</v>
      </c>
      <c r="C34" s="45">
        <f>'[1]Source Data'!C33</f>
        <v>13834</v>
      </c>
      <c r="D34" s="45">
        <f>'[1]Source Data'!D33</f>
        <v>10593</v>
      </c>
      <c r="E34" s="45">
        <f>'[1]Source Data'!E33</f>
        <v>14445</v>
      </c>
      <c r="F34" s="45">
        <f>'[1]Source Data'!F33</f>
        <v>11693</v>
      </c>
      <c r="G34" s="45">
        <f>'[1]Source Data'!G33</f>
        <v>14900</v>
      </c>
      <c r="H34" s="45">
        <f>'[1]Source Data'!H33</f>
        <v>13237</v>
      </c>
      <c r="I34" s="36">
        <f>AVERAGE('[1]Source Data'!C33:H33)</f>
        <v>13117</v>
      </c>
      <c r="J34" s="35">
        <f t="shared" si="0"/>
        <v>10593</v>
      </c>
      <c r="K34" s="35">
        <f t="shared" si="1"/>
        <v>14900</v>
      </c>
    </row>
    <row r="35" spans="1:11" x14ac:dyDescent="0.3">
      <c r="A35" s="34" t="s">
        <v>91</v>
      </c>
      <c r="B35" s="34" t="s">
        <v>92</v>
      </c>
      <c r="C35" s="45">
        <f>'[1]Source Data'!C34</f>
        <v>21708</v>
      </c>
      <c r="D35" s="45">
        <f>'[1]Source Data'!D34</f>
        <v>12029</v>
      </c>
      <c r="E35" s="45">
        <f>'[1]Source Data'!E34</f>
        <v>17291</v>
      </c>
      <c r="F35" s="45">
        <f>'[1]Source Data'!F34</f>
        <v>10407</v>
      </c>
      <c r="G35" s="45">
        <f>'[1]Source Data'!G34</f>
        <v>14655</v>
      </c>
      <c r="H35" s="45">
        <f>'[1]Source Data'!H34</f>
        <v>14033</v>
      </c>
      <c r="I35" s="36">
        <f>AVERAGE('[1]Source Data'!C34:H34)</f>
        <v>15020.5</v>
      </c>
      <c r="J35" s="35">
        <f t="shared" si="0"/>
        <v>10407</v>
      </c>
      <c r="K35" s="35">
        <f t="shared" si="1"/>
        <v>21708</v>
      </c>
    </row>
    <row r="36" spans="1:11" x14ac:dyDescent="0.3">
      <c r="A36" s="34" t="s">
        <v>93</v>
      </c>
      <c r="B36" s="34" t="s">
        <v>92</v>
      </c>
      <c r="C36" s="45">
        <f>'[1]Source Data'!C35</f>
        <v>8906</v>
      </c>
      <c r="D36" s="45">
        <f>'[1]Source Data'!D35</f>
        <v>5684</v>
      </c>
      <c r="E36" s="45">
        <f>'[1]Source Data'!E35</f>
        <v>8025</v>
      </c>
      <c r="F36" s="45">
        <f>'[1]Source Data'!F35</f>
        <v>4676</v>
      </c>
      <c r="G36" s="45">
        <f>'[1]Source Data'!G35</f>
        <v>6831</v>
      </c>
      <c r="H36" s="45">
        <f>'[1]Source Data'!H35</f>
        <v>6620</v>
      </c>
      <c r="I36" s="36">
        <f>AVERAGE('[1]Source Data'!C35:H35)</f>
        <v>6790.333333333333</v>
      </c>
      <c r="J36" s="35">
        <f t="shared" si="0"/>
        <v>4676</v>
      </c>
      <c r="K36" s="35">
        <f t="shared" si="1"/>
        <v>8906</v>
      </c>
    </row>
    <row r="37" spans="1:11" x14ac:dyDescent="0.3">
      <c r="A37" s="34" t="s">
        <v>94</v>
      </c>
      <c r="B37" s="34" t="s">
        <v>95</v>
      </c>
      <c r="C37" s="45">
        <f>'[1]Source Data'!C36</f>
        <v>8083</v>
      </c>
      <c r="D37" s="45">
        <f>'[1]Source Data'!D36</f>
        <v>6730</v>
      </c>
      <c r="E37" s="45">
        <f>'[1]Source Data'!E36</f>
        <v>8271</v>
      </c>
      <c r="F37" s="45">
        <f>'[1]Source Data'!F36</f>
        <v>6305</v>
      </c>
      <c r="G37" s="45">
        <f>'[1]Source Data'!G36</f>
        <v>7566</v>
      </c>
      <c r="H37" s="45">
        <f>'[1]Source Data'!H36</f>
        <v>6156</v>
      </c>
      <c r="I37" s="36">
        <f>AVERAGE('[1]Source Data'!C36:H36)</f>
        <v>7185.166666666667</v>
      </c>
      <c r="J37" s="35">
        <f t="shared" si="0"/>
        <v>6156</v>
      </c>
      <c r="K37" s="35">
        <f t="shared" si="1"/>
        <v>8271</v>
      </c>
    </row>
    <row r="38" spans="1:11" x14ac:dyDescent="0.3">
      <c r="A38" s="34" t="s">
        <v>96</v>
      </c>
      <c r="B38" s="34" t="s">
        <v>97</v>
      </c>
      <c r="C38" s="45">
        <f>'[1]Source Data'!C37</f>
        <v>5214</v>
      </c>
      <c r="D38" s="45">
        <f>'[1]Source Data'!D37</f>
        <v>6382</v>
      </c>
      <c r="E38" s="45">
        <f>'[1]Source Data'!E37</f>
        <v>7029</v>
      </c>
      <c r="F38" s="45">
        <f>'[1]Source Data'!F37</f>
        <v>7260</v>
      </c>
      <c r="G38" s="45">
        <f>'[1]Source Data'!G37</f>
        <v>7059</v>
      </c>
      <c r="H38" s="45">
        <f>'[1]Source Data'!H37</f>
        <v>7333</v>
      </c>
      <c r="I38" s="36">
        <f>AVERAGE('[1]Source Data'!C37:H37)</f>
        <v>6712.833333333333</v>
      </c>
      <c r="J38" s="35">
        <f t="shared" si="0"/>
        <v>5214</v>
      </c>
      <c r="K38" s="35">
        <f t="shared" si="1"/>
        <v>7333</v>
      </c>
    </row>
    <row r="39" spans="1:11" x14ac:dyDescent="0.3">
      <c r="A39" s="37" t="s">
        <v>146</v>
      </c>
      <c r="B39" s="38"/>
      <c r="C39" s="39">
        <f t="shared" ref="C39:I39" si="2">SUM(C7:C38)</f>
        <v>272697</v>
      </c>
      <c r="D39" s="39">
        <f t="shared" si="2"/>
        <v>217880</v>
      </c>
      <c r="E39" s="39">
        <f t="shared" si="2"/>
        <v>273042</v>
      </c>
      <c r="F39" s="39">
        <f t="shared" si="2"/>
        <v>215321</v>
      </c>
      <c r="G39" s="39">
        <f t="shared" si="2"/>
        <v>274525</v>
      </c>
      <c r="H39" s="39">
        <f t="shared" si="2"/>
        <v>250818</v>
      </c>
      <c r="I39" s="39">
        <f t="shared" si="2"/>
        <v>250713.83333333334</v>
      </c>
      <c r="J39" s="38"/>
      <c r="K39" s="38"/>
    </row>
    <row r="41" spans="1:11" ht="15.6" x14ac:dyDescent="0.3">
      <c r="A41" s="65" t="s">
        <v>147</v>
      </c>
      <c r="B41" s="65"/>
      <c r="C41" s="65"/>
      <c r="D41" s="65"/>
      <c r="E41" s="65"/>
      <c r="F41" s="65"/>
      <c r="G41" s="65"/>
      <c r="H41" s="65"/>
    </row>
    <row r="42" spans="1:11" x14ac:dyDescent="0.3">
      <c r="A42" s="40" t="s">
        <v>46</v>
      </c>
      <c r="B42" s="41" t="s">
        <v>17</v>
      </c>
      <c r="C42" s="41" t="s">
        <v>19</v>
      </c>
      <c r="D42" s="41" t="s">
        <v>21</v>
      </c>
      <c r="E42" s="41" t="s">
        <v>23</v>
      </c>
      <c r="F42" s="41" t="s">
        <v>25</v>
      </c>
      <c r="G42" s="41" t="s">
        <v>27</v>
      </c>
      <c r="H42" s="41" t="s">
        <v>148</v>
      </c>
    </row>
    <row r="43" spans="1:11" x14ac:dyDescent="0.3">
      <c r="A43" s="34" t="s">
        <v>48</v>
      </c>
      <c r="B43" s="42">
        <f t="shared" ref="B43:G58" si="3">IF($I7=0,0,(C7-$I7)/$I7)</f>
        <v>-7.2611913993655228E-2</v>
      </c>
      <c r="C43" s="42">
        <f t="shared" si="3"/>
        <v>-0.30895311949242155</v>
      </c>
      <c r="D43" s="42">
        <f t="shared" si="3"/>
        <v>-1.2865703207613637E-2</v>
      </c>
      <c r="E43" s="42">
        <f t="shared" si="3"/>
        <v>-3.2428621783574162E-2</v>
      </c>
      <c r="F43" s="42">
        <f t="shared" si="3"/>
        <v>0.13676418752203037</v>
      </c>
      <c r="G43" s="42">
        <f t="shared" si="3"/>
        <v>0.29009517095523446</v>
      </c>
      <c r="H43" s="43">
        <f t="shared" ref="H43:H74" si="4">MAX(ABS(B43),ABS(C43),ABS(D43),ABS(E43),ABS(F43),ABS(G43))</f>
        <v>0.30895311949242155</v>
      </c>
      <c r="J43" s="44"/>
    </row>
    <row r="44" spans="1:11" x14ac:dyDescent="0.3">
      <c r="A44" s="34" t="s">
        <v>50</v>
      </c>
      <c r="B44" s="42">
        <f t="shared" si="3"/>
        <v>-0.18744758555390231</v>
      </c>
      <c r="C44" s="42">
        <f t="shared" si="3"/>
        <v>-0.35641823346408763</v>
      </c>
      <c r="D44" s="42">
        <f t="shared" si="3"/>
        <v>-5.0777762748545875E-2</v>
      </c>
      <c r="E44" s="42">
        <f t="shared" si="3"/>
        <v>2.3725145407818258E-2</v>
      </c>
      <c r="F44" s="42">
        <f t="shared" si="3"/>
        <v>0.28683890166373605</v>
      </c>
      <c r="G44" s="42">
        <f t="shared" si="3"/>
        <v>0.28407953469498182</v>
      </c>
      <c r="H44" s="43">
        <f t="shared" si="4"/>
        <v>0.35641823346408763</v>
      </c>
    </row>
    <row r="45" spans="1:11" x14ac:dyDescent="0.3">
      <c r="A45" s="34" t="s">
        <v>51</v>
      </c>
      <c r="B45" s="42">
        <f t="shared" si="3"/>
        <v>0.22138070502398985</v>
      </c>
      <c r="C45" s="42">
        <f t="shared" si="3"/>
        <v>0.15896744518022127</v>
      </c>
      <c r="D45" s="42">
        <f t="shared" si="3"/>
        <v>0.42424362583766206</v>
      </c>
      <c r="E45" s="42">
        <f t="shared" si="3"/>
        <v>-0.43257068083587769</v>
      </c>
      <c r="F45" s="42">
        <f t="shared" si="3"/>
        <v>5.2301835917363891E-2</v>
      </c>
      <c r="G45" s="42">
        <f t="shared" si="3"/>
        <v>-0.42432293112335939</v>
      </c>
      <c r="H45" s="43">
        <f t="shared" si="4"/>
        <v>0.43257068083587769</v>
      </c>
    </row>
    <row r="46" spans="1:11" x14ac:dyDescent="0.3">
      <c r="A46" s="34" t="s">
        <v>53</v>
      </c>
      <c r="B46" s="42">
        <f t="shared" si="3"/>
        <v>2.8387036430809479E-2</v>
      </c>
      <c r="C46" s="42">
        <f t="shared" si="3"/>
        <v>-0.27886638918767248</v>
      </c>
      <c r="D46" s="42">
        <f t="shared" si="3"/>
        <v>2.0249731094794887E-2</v>
      </c>
      <c r="E46" s="42">
        <f t="shared" si="3"/>
        <v>-0.15708740588317827</v>
      </c>
      <c r="F46" s="42">
        <f t="shared" si="3"/>
        <v>0.18860777252957953</v>
      </c>
      <c r="G46" s="42">
        <f t="shared" si="3"/>
        <v>0.19870925501566661</v>
      </c>
      <c r="H46" s="43">
        <f t="shared" si="4"/>
        <v>0.27886638918767248</v>
      </c>
    </row>
    <row r="47" spans="1:11" x14ac:dyDescent="0.3">
      <c r="A47" s="34" t="s">
        <v>55</v>
      </c>
      <c r="B47" s="42">
        <f t="shared" si="3"/>
        <v>7.4999999999999997E-2</v>
      </c>
      <c r="C47" s="42">
        <f t="shared" si="3"/>
        <v>-0.3</v>
      </c>
      <c r="D47" s="42">
        <f t="shared" si="3"/>
        <v>0.3</v>
      </c>
      <c r="E47" s="42">
        <f t="shared" si="3"/>
        <v>0.25</v>
      </c>
      <c r="F47" s="42">
        <f t="shared" si="3"/>
        <v>-0.05</v>
      </c>
      <c r="G47" s="42">
        <f t="shared" si="3"/>
        <v>-0.27500000000000002</v>
      </c>
      <c r="H47" s="43">
        <f t="shared" si="4"/>
        <v>0.3</v>
      </c>
    </row>
    <row r="48" spans="1:11" x14ac:dyDescent="0.3">
      <c r="A48" s="34" t="s">
        <v>57</v>
      </c>
      <c r="B48" s="42">
        <f t="shared" si="3"/>
        <v>-1</v>
      </c>
      <c r="C48" s="42">
        <f t="shared" si="3"/>
        <v>0.19999999999999996</v>
      </c>
      <c r="D48" s="42">
        <f t="shared" si="3"/>
        <v>0.19999999999999996</v>
      </c>
      <c r="E48" s="42">
        <f t="shared" si="3"/>
        <v>0.19999999999999996</v>
      </c>
      <c r="F48" s="42">
        <f t="shared" si="3"/>
        <v>0.19999999999999996</v>
      </c>
      <c r="G48" s="42">
        <f t="shared" si="3"/>
        <v>0.19999999999999996</v>
      </c>
      <c r="H48" s="43">
        <f t="shared" si="4"/>
        <v>1</v>
      </c>
    </row>
    <row r="49" spans="1:8" x14ac:dyDescent="0.3">
      <c r="A49" s="34" t="s">
        <v>58</v>
      </c>
      <c r="B49" s="42">
        <f t="shared" si="3"/>
        <v>-3.238598810310641E-2</v>
      </c>
      <c r="C49" s="42">
        <f t="shared" si="3"/>
        <v>-0.10277594183740912</v>
      </c>
      <c r="D49" s="42">
        <f t="shared" si="3"/>
        <v>0.23463317911434237</v>
      </c>
      <c r="E49" s="42">
        <f t="shared" si="3"/>
        <v>3.9656311962987445E-3</v>
      </c>
      <c r="F49" s="42">
        <f t="shared" si="3"/>
        <v>-4.5604758757435561E-2</v>
      </c>
      <c r="G49" s="42">
        <f t="shared" si="3"/>
        <v>-5.7832121612690017E-2</v>
      </c>
      <c r="H49" s="43">
        <f t="shared" si="4"/>
        <v>0.23463317911434237</v>
      </c>
    </row>
    <row r="50" spans="1:8" x14ac:dyDescent="0.3">
      <c r="A50" s="34" t="s">
        <v>59</v>
      </c>
      <c r="B50" s="42">
        <f t="shared" si="3"/>
        <v>-1</v>
      </c>
      <c r="C50" s="42">
        <f t="shared" si="3"/>
        <v>-1</v>
      </c>
      <c r="D50" s="42">
        <f t="shared" si="3"/>
        <v>-1</v>
      </c>
      <c r="E50" s="42">
        <f t="shared" si="3"/>
        <v>-1</v>
      </c>
      <c r="F50" s="42">
        <f t="shared" si="3"/>
        <v>-1</v>
      </c>
      <c r="G50" s="42">
        <f t="shared" si="3"/>
        <v>5</v>
      </c>
      <c r="H50" s="43">
        <f t="shared" si="4"/>
        <v>5</v>
      </c>
    </row>
    <row r="51" spans="1:8" x14ac:dyDescent="0.3">
      <c r="A51" s="34" t="s">
        <v>61</v>
      </c>
      <c r="B51" s="42">
        <f t="shared" si="3"/>
        <v>-0.36343827485160413</v>
      </c>
      <c r="C51" s="42">
        <f t="shared" si="3"/>
        <v>-0.21015853933428502</v>
      </c>
      <c r="D51" s="42">
        <f t="shared" si="3"/>
        <v>1.2998722668870758E-2</v>
      </c>
      <c r="E51" s="42">
        <f t="shared" si="3"/>
        <v>5.2220302051243589E-2</v>
      </c>
      <c r="F51" s="42">
        <f t="shared" si="3"/>
        <v>0.22713952964159601</v>
      </c>
      <c r="G51" s="42">
        <f t="shared" si="3"/>
        <v>0.28123825982417922</v>
      </c>
      <c r="H51" s="43">
        <f t="shared" si="4"/>
        <v>0.36343827485160413</v>
      </c>
    </row>
    <row r="52" spans="1:8" x14ac:dyDescent="0.3">
      <c r="A52" s="34" t="s">
        <v>63</v>
      </c>
      <c r="B52" s="42">
        <f t="shared" si="3"/>
        <v>-0.32824312065315991</v>
      </c>
      <c r="C52" s="42">
        <f t="shared" si="3"/>
        <v>-8.920471726640454E-2</v>
      </c>
      <c r="D52" s="42">
        <f t="shared" si="3"/>
        <v>8.9960689446628439E-2</v>
      </c>
      <c r="E52" s="42">
        <f t="shared" si="3"/>
        <v>-2.1620804354399691E-2</v>
      </c>
      <c r="F52" s="42">
        <f t="shared" si="3"/>
        <v>0.11400060477774425</v>
      </c>
      <c r="G52" s="42">
        <f t="shared" si="3"/>
        <v>0.23510734804959185</v>
      </c>
      <c r="H52" s="43">
        <f t="shared" si="4"/>
        <v>0.32824312065315991</v>
      </c>
    </row>
    <row r="53" spans="1:8" x14ac:dyDescent="0.3">
      <c r="A53" s="34" t="s">
        <v>64</v>
      </c>
      <c r="B53" s="42">
        <f t="shared" si="3"/>
        <v>-8.8349514563106801E-2</v>
      </c>
      <c r="C53" s="42">
        <f t="shared" si="3"/>
        <v>-6.9902912621359226E-2</v>
      </c>
      <c r="D53" s="42">
        <f t="shared" si="3"/>
        <v>-7.8640776699029122E-2</v>
      </c>
      <c r="E53" s="42">
        <f t="shared" si="3"/>
        <v>-0.13656957928802588</v>
      </c>
      <c r="F53" s="42">
        <f t="shared" si="3"/>
        <v>0.25275080906148867</v>
      </c>
      <c r="G53" s="42">
        <f t="shared" si="3"/>
        <v>0.12071197411003236</v>
      </c>
      <c r="H53" s="43">
        <f t="shared" si="4"/>
        <v>0.25275080906148867</v>
      </c>
    </row>
    <row r="54" spans="1:8" x14ac:dyDescent="0.3">
      <c r="A54" s="34" t="s">
        <v>66</v>
      </c>
      <c r="B54" s="42">
        <f t="shared" si="3"/>
        <v>-1</v>
      </c>
      <c r="C54" s="42">
        <f t="shared" si="3"/>
        <v>-0.5080971659919028</v>
      </c>
      <c r="D54" s="42">
        <f t="shared" si="3"/>
        <v>-1</v>
      </c>
      <c r="E54" s="42">
        <f t="shared" si="3"/>
        <v>-1</v>
      </c>
      <c r="F54" s="42">
        <f t="shared" si="3"/>
        <v>1.1558704453441297</v>
      </c>
      <c r="G54" s="42">
        <f t="shared" si="3"/>
        <v>2.3522267206477738</v>
      </c>
      <c r="H54" s="43">
        <f t="shared" si="4"/>
        <v>2.3522267206477738</v>
      </c>
    </row>
    <row r="55" spans="1:8" x14ac:dyDescent="0.3">
      <c r="A55" s="34" t="s">
        <v>68</v>
      </c>
      <c r="B55" s="42">
        <f t="shared" si="3"/>
        <v>-7.1918830199940317E-2</v>
      </c>
      <c r="C55" s="42">
        <f t="shared" si="3"/>
        <v>0.25276037003879437</v>
      </c>
      <c r="D55" s="42">
        <f t="shared" si="3"/>
        <v>-0.50402864816472692</v>
      </c>
      <c r="E55" s="42">
        <f t="shared" si="3"/>
        <v>6.714413607878246E-2</v>
      </c>
      <c r="F55" s="42">
        <f t="shared" si="3"/>
        <v>0.16383169203222919</v>
      </c>
      <c r="G55" s="42">
        <f t="shared" si="3"/>
        <v>9.2211280214861233E-2</v>
      </c>
      <c r="H55" s="43">
        <f t="shared" si="4"/>
        <v>0.50402864816472692</v>
      </c>
    </row>
    <row r="56" spans="1:8" x14ac:dyDescent="0.3">
      <c r="A56" s="34" t="s">
        <v>70</v>
      </c>
      <c r="B56" s="42">
        <f t="shared" si="3"/>
        <v>1.3645095051997147E-2</v>
      </c>
      <c r="C56" s="42">
        <f t="shared" si="3"/>
        <v>0.4995032125587866</v>
      </c>
      <c r="D56" s="42">
        <f t="shared" si="3"/>
        <v>-0.21249254818838176</v>
      </c>
      <c r="E56" s="42">
        <f t="shared" si="3"/>
        <v>-0.1099556203219182</v>
      </c>
      <c r="F56" s="42">
        <f t="shared" si="3"/>
        <v>6.5708418891170489E-2</v>
      </c>
      <c r="G56" s="42">
        <f t="shared" si="3"/>
        <v>-0.25640855799165391</v>
      </c>
      <c r="H56" s="43">
        <f t="shared" si="4"/>
        <v>0.4995032125587866</v>
      </c>
    </row>
    <row r="57" spans="1:8" x14ac:dyDescent="0.3">
      <c r="A57" s="34" t="s">
        <v>72</v>
      </c>
      <c r="B57" s="42">
        <f t="shared" si="3"/>
        <v>0.9169913603252583</v>
      </c>
      <c r="C57" s="42">
        <f t="shared" si="3"/>
        <v>0.39556157885820764</v>
      </c>
      <c r="D57" s="42">
        <f t="shared" si="3"/>
        <v>-0.43892935795358295</v>
      </c>
      <c r="E57" s="42">
        <f t="shared" si="3"/>
        <v>-0.12383533796374728</v>
      </c>
      <c r="F57" s="42">
        <f t="shared" si="3"/>
        <v>-0.19803489750974085</v>
      </c>
      <c r="G57" s="42">
        <f t="shared" si="3"/>
        <v>-0.55175334575639512</v>
      </c>
      <c r="H57" s="43">
        <f t="shared" si="4"/>
        <v>0.9169913603252583</v>
      </c>
    </row>
    <row r="58" spans="1:8" x14ac:dyDescent="0.3">
      <c r="A58" s="34" t="s">
        <v>73</v>
      </c>
      <c r="B58" s="42">
        <f t="shared" si="3"/>
        <v>0.17163993843403996</v>
      </c>
      <c r="C58" s="42">
        <f t="shared" si="3"/>
        <v>0.48949903182562926</v>
      </c>
      <c r="D58" s="42">
        <f t="shared" si="3"/>
        <v>-0.32138424110024333</v>
      </c>
      <c r="E58" s="42">
        <f t="shared" si="3"/>
        <v>2.7456432153319055E-2</v>
      </c>
      <c r="F58" s="42">
        <f t="shared" si="3"/>
        <v>-9.021399136090566E-2</v>
      </c>
      <c r="G58" s="42">
        <f t="shared" si="3"/>
        <v>-0.27699716995183954</v>
      </c>
      <c r="H58" s="43">
        <f t="shared" si="4"/>
        <v>0.48949903182562926</v>
      </c>
    </row>
    <row r="59" spans="1:8" x14ac:dyDescent="0.3">
      <c r="A59" s="34" t="s">
        <v>75</v>
      </c>
      <c r="B59" s="42">
        <f t="shared" ref="B59:G74" si="5">IF($I23=0,0,(C23-$I23)/$I23)</f>
        <v>-4.9384550945129731E-2</v>
      </c>
      <c r="C59" s="42">
        <f t="shared" si="5"/>
        <v>-0.24070746240423718</v>
      </c>
      <c r="D59" s="42">
        <f t="shared" si="5"/>
        <v>4.3358419694369807E-2</v>
      </c>
      <c r="E59" s="42">
        <f t="shared" si="5"/>
        <v>-7.6380538028130912E-2</v>
      </c>
      <c r="F59" s="42">
        <f t="shared" si="5"/>
        <v>0.21327910715974657</v>
      </c>
      <c r="G59" s="42">
        <f t="shared" si="5"/>
        <v>0.10983502452338172</v>
      </c>
      <c r="H59" s="43">
        <f t="shared" si="4"/>
        <v>0.24070746240423718</v>
      </c>
    </row>
    <row r="60" spans="1:8" x14ac:dyDescent="0.3">
      <c r="A60" s="34" t="s">
        <v>76</v>
      </c>
      <c r="B60" s="42">
        <f t="shared" si="5"/>
        <v>3.7288135593220383E-2</v>
      </c>
      <c r="C60" s="42">
        <f t="shared" si="5"/>
        <v>-0.21427297056199818</v>
      </c>
      <c r="D60" s="42">
        <f t="shared" si="5"/>
        <v>0.10900981266726142</v>
      </c>
      <c r="E60" s="42">
        <f t="shared" si="5"/>
        <v>-0.12114183764495982</v>
      </c>
      <c r="F60" s="42">
        <f t="shared" si="5"/>
        <v>8.0107047279215027E-2</v>
      </c>
      <c r="G60" s="42">
        <f t="shared" si="5"/>
        <v>0.10900981266726142</v>
      </c>
      <c r="H60" s="43">
        <f t="shared" si="4"/>
        <v>0.21427297056199818</v>
      </c>
    </row>
    <row r="61" spans="1:8" x14ac:dyDescent="0.3">
      <c r="A61" s="34" t="s">
        <v>77</v>
      </c>
      <c r="B61" s="42">
        <f t="shared" si="5"/>
        <v>-7.6360056499593404E-2</v>
      </c>
      <c r="C61" s="42">
        <f t="shared" si="5"/>
        <v>-0.24020887728459533</v>
      </c>
      <c r="D61" s="42">
        <f t="shared" si="5"/>
        <v>0.12883619398193721</v>
      </c>
      <c r="E61" s="42">
        <f t="shared" si="5"/>
        <v>-5.6585198818644905E-2</v>
      </c>
      <c r="F61" s="42">
        <f t="shared" si="5"/>
        <v>0.15580190900141244</v>
      </c>
      <c r="G61" s="42">
        <f t="shared" si="5"/>
        <v>8.8516029619483752E-2</v>
      </c>
      <c r="H61" s="43">
        <f t="shared" si="4"/>
        <v>0.24020887728459533</v>
      </c>
    </row>
    <row r="62" spans="1:8" x14ac:dyDescent="0.3">
      <c r="A62" s="34" t="s">
        <v>78</v>
      </c>
      <c r="B62" s="42">
        <f t="shared" si="5"/>
        <v>-0.20225644404183477</v>
      </c>
      <c r="C62" s="42">
        <f t="shared" si="5"/>
        <v>-0.35345466523923247</v>
      </c>
      <c r="D62" s="42">
        <f t="shared" si="5"/>
        <v>8.2351972329741045E-4</v>
      </c>
      <c r="E62" s="42">
        <f t="shared" si="5"/>
        <v>-7.3046199456476946E-2</v>
      </c>
      <c r="F62" s="42">
        <f t="shared" si="5"/>
        <v>0.212550440583052</v>
      </c>
      <c r="G62" s="42">
        <f t="shared" si="5"/>
        <v>0.41538334843119495</v>
      </c>
      <c r="H62" s="43">
        <f t="shared" si="4"/>
        <v>0.41538334843119495</v>
      </c>
    </row>
    <row r="63" spans="1:8" x14ac:dyDescent="0.3">
      <c r="A63" s="34" t="s">
        <v>79</v>
      </c>
      <c r="B63" s="42">
        <f t="shared" si="5"/>
        <v>1.8740492850623725E-2</v>
      </c>
      <c r="C63" s="42">
        <f t="shared" si="5"/>
        <v>-9.3154852449041634E-2</v>
      </c>
      <c r="D63" s="42">
        <f t="shared" si="5"/>
        <v>0.10015211439002136</v>
      </c>
      <c r="E63" s="42">
        <f t="shared" si="5"/>
        <v>-6.4861575905080571E-2</v>
      </c>
      <c r="F63" s="42">
        <f t="shared" si="5"/>
        <v>4.6121083054457009E-2</v>
      </c>
      <c r="G63" s="42">
        <f t="shared" si="5"/>
        <v>-6.9972619409795619E-3</v>
      </c>
      <c r="H63" s="43">
        <f t="shared" si="4"/>
        <v>0.10015211439002136</v>
      </c>
    </row>
    <row r="64" spans="1:8" x14ac:dyDescent="0.3">
      <c r="A64" s="34" t="s">
        <v>81</v>
      </c>
      <c r="B64" s="42">
        <f t="shared" si="5"/>
        <v>-0.34862904299214698</v>
      </c>
      <c r="C64" s="42">
        <f t="shared" si="5"/>
        <v>-0.23013443364834291</v>
      </c>
      <c r="D64" s="42">
        <f t="shared" si="5"/>
        <v>-0.36759616664448291</v>
      </c>
      <c r="E64" s="42">
        <f t="shared" si="5"/>
        <v>0.24564088912551571</v>
      </c>
      <c r="F64" s="42">
        <f t="shared" si="5"/>
        <v>0.24234659922800472</v>
      </c>
      <c r="G64" s="42">
        <f t="shared" si="5"/>
        <v>0.45837215493145206</v>
      </c>
      <c r="H64" s="43">
        <f t="shared" si="4"/>
        <v>0.45837215493145206</v>
      </c>
    </row>
    <row r="65" spans="1:8" x14ac:dyDescent="0.3">
      <c r="A65" s="34" t="s">
        <v>83</v>
      </c>
      <c r="B65" s="42">
        <f t="shared" si="5"/>
        <v>0.26115597110072247</v>
      </c>
      <c r="C65" s="42">
        <f t="shared" si="5"/>
        <v>-0.18125796855078624</v>
      </c>
      <c r="D65" s="42">
        <f t="shared" si="5"/>
        <v>0.24925626859328517</v>
      </c>
      <c r="E65" s="42">
        <f t="shared" si="5"/>
        <v>-0.28389290267743306</v>
      </c>
      <c r="F65" s="42">
        <f t="shared" si="5"/>
        <v>5.9073523161920952E-2</v>
      </c>
      <c r="G65" s="42">
        <f t="shared" si="5"/>
        <v>-0.10433489162770931</v>
      </c>
      <c r="H65" s="43">
        <f t="shared" si="4"/>
        <v>0.28389290267743306</v>
      </c>
    </row>
    <row r="66" spans="1:8" x14ac:dyDescent="0.3">
      <c r="A66" s="34" t="s">
        <v>84</v>
      </c>
      <c r="B66" s="42">
        <f t="shared" si="5"/>
        <v>0.2642310960067969</v>
      </c>
      <c r="C66" s="42">
        <f t="shared" si="5"/>
        <v>-0.25650438434779826</v>
      </c>
      <c r="D66" s="42">
        <f t="shared" si="5"/>
        <v>0.25961430563793453</v>
      </c>
      <c r="E66" s="42">
        <f t="shared" si="5"/>
        <v>-0.27218223497539318</v>
      </c>
      <c r="F66" s="42">
        <f t="shared" si="5"/>
        <v>8.0906045109889163E-2</v>
      </c>
      <c r="G66" s="42">
        <f t="shared" si="5"/>
        <v>-7.6064827431429491E-2</v>
      </c>
      <c r="H66" s="43">
        <f t="shared" si="4"/>
        <v>0.27218223497539318</v>
      </c>
    </row>
    <row r="67" spans="1:8" x14ac:dyDescent="0.3">
      <c r="A67" s="34" t="s">
        <v>85</v>
      </c>
      <c r="B67" s="42">
        <f t="shared" si="5"/>
        <v>0.26339047178939162</v>
      </c>
      <c r="C67" s="42">
        <f t="shared" si="5"/>
        <v>-0.17001458546940662</v>
      </c>
      <c r="D67" s="42">
        <f t="shared" si="5"/>
        <v>0.22165581180412147</v>
      </c>
      <c r="E67" s="42">
        <f t="shared" si="5"/>
        <v>-0.23069591462446026</v>
      </c>
      <c r="F67" s="42">
        <f t="shared" si="5"/>
        <v>-8.361373055872456E-3</v>
      </c>
      <c r="G67" s="42">
        <f t="shared" si="5"/>
        <v>-7.5974410443773732E-2</v>
      </c>
      <c r="H67" s="43">
        <f t="shared" si="4"/>
        <v>0.26339047178939162</v>
      </c>
    </row>
    <row r="68" spans="1:8" x14ac:dyDescent="0.3">
      <c r="A68" s="34" t="s">
        <v>87</v>
      </c>
      <c r="B68" s="42">
        <f t="shared" si="5"/>
        <v>0.11743228494890375</v>
      </c>
      <c r="C68" s="42">
        <f t="shared" si="5"/>
        <v>-0.13800972318682403</v>
      </c>
      <c r="D68" s="42">
        <f t="shared" si="5"/>
        <v>6.0492112312729517E-2</v>
      </c>
      <c r="E68" s="42">
        <f t="shared" si="5"/>
        <v>-0.11851374144260336</v>
      </c>
      <c r="F68" s="42">
        <f t="shared" si="5"/>
        <v>0.10582399047524564</v>
      </c>
      <c r="G68" s="42">
        <f t="shared" si="5"/>
        <v>-2.7224923107451067E-2</v>
      </c>
      <c r="H68" s="43">
        <f t="shared" si="4"/>
        <v>0.13800972318682403</v>
      </c>
    </row>
    <row r="69" spans="1:8" x14ac:dyDescent="0.3">
      <c r="A69" s="34" t="s">
        <v>89</v>
      </c>
      <c r="B69" s="42">
        <f t="shared" si="5"/>
        <v>2.3003332824371253E-2</v>
      </c>
      <c r="C69" s="42">
        <f t="shared" si="5"/>
        <v>-0.11751233355622361</v>
      </c>
      <c r="D69" s="42">
        <f t="shared" si="5"/>
        <v>6.6156300512296748E-2</v>
      </c>
      <c r="E69" s="42">
        <f t="shared" si="5"/>
        <v>-0.12316707822396787</v>
      </c>
      <c r="F69" s="42">
        <f t="shared" si="5"/>
        <v>0.15862243259323225</v>
      </c>
      <c r="G69" s="42">
        <f t="shared" si="5"/>
        <v>-7.1026541497085371E-3</v>
      </c>
      <c r="H69" s="43">
        <f t="shared" si="4"/>
        <v>0.15862243259323225</v>
      </c>
    </row>
    <row r="70" spans="1:8" x14ac:dyDescent="0.3">
      <c r="A70" s="34" t="s">
        <v>90</v>
      </c>
      <c r="B70" s="42">
        <f t="shared" si="5"/>
        <v>5.4661889151482811E-2</v>
      </c>
      <c r="C70" s="42">
        <f t="shared" si="5"/>
        <v>-0.19242204772432722</v>
      </c>
      <c r="D70" s="42">
        <f t="shared" si="5"/>
        <v>0.10124266219409926</v>
      </c>
      <c r="E70" s="42">
        <f t="shared" si="5"/>
        <v>-0.10856140885873294</v>
      </c>
      <c r="F70" s="42">
        <f t="shared" si="5"/>
        <v>0.13593047190668597</v>
      </c>
      <c r="G70" s="42">
        <f t="shared" si="5"/>
        <v>9.1484333307921013E-3</v>
      </c>
      <c r="H70" s="43">
        <f t="shared" si="4"/>
        <v>0.19242204772432722</v>
      </c>
    </row>
    <row r="71" spans="1:8" x14ac:dyDescent="0.3">
      <c r="A71" s="34" t="s">
        <v>91</v>
      </c>
      <c r="B71" s="42">
        <f t="shared" si="5"/>
        <v>0.44522485935887618</v>
      </c>
      <c r="C71" s="42">
        <f t="shared" si="5"/>
        <v>-0.19916114643320795</v>
      </c>
      <c r="D71" s="42">
        <f t="shared" si="5"/>
        <v>0.15116008122232949</v>
      </c>
      <c r="E71" s="42">
        <f t="shared" si="5"/>
        <v>-0.30714689923770849</v>
      </c>
      <c r="F71" s="42">
        <f t="shared" si="5"/>
        <v>-2.4333411004959889E-2</v>
      </c>
      <c r="G71" s="42">
        <f t="shared" si="5"/>
        <v>-6.5743483905329386E-2</v>
      </c>
      <c r="H71" s="43">
        <f t="shared" si="4"/>
        <v>0.44522485935887618</v>
      </c>
    </row>
    <row r="72" spans="1:8" x14ac:dyDescent="0.3">
      <c r="A72" s="34" t="s">
        <v>93</v>
      </c>
      <c r="B72" s="42">
        <f t="shared" si="5"/>
        <v>0.31157036964312018</v>
      </c>
      <c r="C72" s="42">
        <f t="shared" si="5"/>
        <v>-0.16292769132590443</v>
      </c>
      <c r="D72" s="42">
        <f t="shared" si="5"/>
        <v>0.18182710716214232</v>
      </c>
      <c r="E72" s="42">
        <f t="shared" si="5"/>
        <v>-0.31137401207599036</v>
      </c>
      <c r="F72" s="42">
        <f t="shared" si="5"/>
        <v>5.9889057974572141E-3</v>
      </c>
      <c r="G72" s="42">
        <f t="shared" si="5"/>
        <v>-2.5084679200824658E-2</v>
      </c>
      <c r="H72" s="43">
        <f t="shared" si="4"/>
        <v>0.31157036964312018</v>
      </c>
    </row>
    <row r="73" spans="1:8" x14ac:dyDescent="0.3">
      <c r="A73" s="34" t="s">
        <v>94</v>
      </c>
      <c r="B73" s="42">
        <f t="shared" si="5"/>
        <v>0.12495650761986495</v>
      </c>
      <c r="C73" s="42">
        <f t="shared" si="5"/>
        <v>-6.3348101412632543E-2</v>
      </c>
      <c r="D73" s="42">
        <f t="shared" si="5"/>
        <v>0.15112152350908117</v>
      </c>
      <c r="E73" s="42">
        <f t="shared" si="5"/>
        <v>-0.12249773839623301</v>
      </c>
      <c r="F73" s="42">
        <f t="shared" si="5"/>
        <v>5.3002713924520377E-2</v>
      </c>
      <c r="G73" s="42">
        <f t="shared" si="5"/>
        <v>-0.14323490524460117</v>
      </c>
      <c r="H73" s="43">
        <f t="shared" si="4"/>
        <v>0.15112152350908117</v>
      </c>
    </row>
    <row r="74" spans="1:8" x14ac:dyDescent="0.3">
      <c r="A74" s="34" t="s">
        <v>96</v>
      </c>
      <c r="B74" s="42">
        <f t="shared" si="5"/>
        <v>-0.22327879434913223</v>
      </c>
      <c r="C74" s="42">
        <f t="shared" si="5"/>
        <v>-4.9283710306130005E-2</v>
      </c>
      <c r="D74" s="42">
        <f t="shared" si="5"/>
        <v>4.7098840529334406E-2</v>
      </c>
      <c r="E74" s="42">
        <f t="shared" si="5"/>
        <v>8.1510539513866526E-2</v>
      </c>
      <c r="F74" s="42">
        <f t="shared" si="5"/>
        <v>5.1567892345507411E-2</v>
      </c>
      <c r="G74" s="42">
        <f t="shared" si="5"/>
        <v>9.2385232266554165E-2</v>
      </c>
      <c r="H74" s="43">
        <f t="shared" si="4"/>
        <v>0.22327879434913223</v>
      </c>
    </row>
  </sheetData>
  <mergeCells count="6">
    <mergeCell ref="A41:H41"/>
    <mergeCell ref="A1:K1"/>
    <mergeCell ref="A2:K2"/>
    <mergeCell ref="C3:D3"/>
    <mergeCell ref="E3:H3"/>
    <mergeCell ref="A5:K5"/>
  </mergeCells>
  <conditionalFormatting sqref="B43:G74">
    <cfRule type="expression" dxfId="7" priority="3">
      <formula>B43&gt;0.05</formula>
    </cfRule>
    <cfRule type="expression" dxfId="6" priority="4">
      <formula>B43&lt;-0.05</formula>
    </cfRule>
  </conditionalFormatting>
  <conditionalFormatting sqref="C7:H38">
    <cfRule type="expression" dxfId="5" priority="1">
      <formula>AND($I7&gt;0,C7-$I7&gt;0.05*$I7)</formula>
    </cfRule>
    <cfRule type="expression" dxfId="4" priority="2">
      <formula>AND($I7&gt;0,$I7-C7&gt;0.05*$I7)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1EEEC-7F55-4DA7-B6F8-26E83C931284}">
  <dimension ref="A1:M6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B9" sqref="B9"/>
    </sheetView>
  </sheetViews>
  <sheetFormatPr defaultRowHeight="14.4" x14ac:dyDescent="0.3"/>
  <cols>
    <col min="1" max="1" width="34" customWidth="1"/>
    <col min="2" max="2" width="26" customWidth="1"/>
    <col min="3" max="7" width="11" customWidth="1"/>
    <col min="8" max="9" width="13" customWidth="1"/>
    <col min="10" max="11" width="10" customWidth="1"/>
  </cols>
  <sheetData>
    <row r="1" spans="1:13" ht="19.2" x14ac:dyDescent="0.35">
      <c r="A1" s="72" t="s">
        <v>149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3" ht="43.95" customHeight="1" x14ac:dyDescent="0.3">
      <c r="A2" s="73"/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3" x14ac:dyDescent="0.3">
      <c r="A3" s="46" t="s">
        <v>138</v>
      </c>
      <c r="B3" s="47" t="s">
        <v>139</v>
      </c>
      <c r="C3" s="74" t="s">
        <v>140</v>
      </c>
      <c r="D3" s="75"/>
      <c r="E3" s="76" t="s">
        <v>141</v>
      </c>
      <c r="F3" s="71"/>
      <c r="G3" s="71"/>
      <c r="H3" s="71"/>
    </row>
    <row r="5" spans="1:13" ht="15.6" x14ac:dyDescent="0.3">
      <c r="A5" s="70" t="s">
        <v>150</v>
      </c>
      <c r="B5" s="71"/>
      <c r="C5" s="71"/>
      <c r="D5" s="71"/>
      <c r="E5" s="71"/>
      <c r="F5" s="71"/>
      <c r="G5" s="71"/>
      <c r="H5" s="71"/>
      <c r="I5" s="71"/>
      <c r="J5" s="71"/>
      <c r="K5" s="71"/>
    </row>
    <row r="6" spans="1:13" ht="27.6" x14ac:dyDescent="0.3">
      <c r="A6" s="48" t="s">
        <v>100</v>
      </c>
      <c r="B6" s="48" t="s">
        <v>14</v>
      </c>
      <c r="C6" s="49" t="s">
        <v>17</v>
      </c>
      <c r="D6" s="49" t="s">
        <v>19</v>
      </c>
      <c r="E6" s="49" t="s">
        <v>21</v>
      </c>
      <c r="F6" s="49" t="s">
        <v>23</v>
      </c>
      <c r="G6" s="49" t="s">
        <v>25</v>
      </c>
      <c r="H6" s="49" t="s">
        <v>27</v>
      </c>
      <c r="I6" s="49" t="s">
        <v>143</v>
      </c>
      <c r="J6" s="49" t="s">
        <v>144</v>
      </c>
      <c r="K6" s="49" t="s">
        <v>145</v>
      </c>
    </row>
    <row r="7" spans="1:13" x14ac:dyDescent="0.3">
      <c r="A7" s="50" t="s">
        <v>101</v>
      </c>
      <c r="B7" s="50" t="s">
        <v>18</v>
      </c>
      <c r="C7" s="51">
        <f>'[2]Source Data'!C43</f>
        <v>118085</v>
      </c>
      <c r="D7" s="51">
        <f>'[2]Source Data'!D43</f>
        <v>123184</v>
      </c>
      <c r="E7" s="51">
        <f>'[2]Source Data'!E43</f>
        <v>150132</v>
      </c>
      <c r="F7" s="51">
        <f>'[2]Source Data'!F43</f>
        <v>159101</v>
      </c>
      <c r="G7" s="51">
        <f>'[2]Source Data'!G43</f>
        <v>165042</v>
      </c>
      <c r="H7" s="51">
        <f>'[2]Source Data'!H43</f>
        <v>156856</v>
      </c>
      <c r="I7" s="52">
        <f>AVERAGE('[2]Source Data'!C43:H43)</f>
        <v>145400</v>
      </c>
      <c r="J7" s="51">
        <f t="shared" ref="J7:J33" si="0">MIN(C7:H7)</f>
        <v>118085</v>
      </c>
      <c r="K7" s="51">
        <f t="shared" ref="K7:K33" si="1">MAX(C7:H7)</f>
        <v>165042</v>
      </c>
      <c r="M7" s="60"/>
    </row>
    <row r="8" spans="1:13" x14ac:dyDescent="0.3">
      <c r="A8" s="50" t="s">
        <v>102</v>
      </c>
      <c r="B8" s="50" t="s">
        <v>22</v>
      </c>
      <c r="C8" s="51">
        <f>'[2]Source Data'!C44</f>
        <v>13866</v>
      </c>
      <c r="D8" s="51">
        <f>'[2]Source Data'!D44</f>
        <v>10787</v>
      </c>
      <c r="E8" s="51">
        <f>'[2]Source Data'!E44</f>
        <v>10769</v>
      </c>
      <c r="F8" s="51">
        <f>'[2]Source Data'!F44</f>
        <v>14904</v>
      </c>
      <c r="G8" s="51">
        <f>'[2]Source Data'!G44</f>
        <v>17952</v>
      </c>
      <c r="H8" s="51">
        <f>'[2]Source Data'!H44</f>
        <v>17238</v>
      </c>
      <c r="I8" s="52">
        <f>AVERAGE('[2]Source Data'!C44:H44)</f>
        <v>14252.666666666666</v>
      </c>
      <c r="J8" s="51">
        <f t="shared" si="0"/>
        <v>10769</v>
      </c>
      <c r="K8" s="51">
        <f t="shared" si="1"/>
        <v>17952</v>
      </c>
    </row>
    <row r="9" spans="1:13" x14ac:dyDescent="0.3">
      <c r="A9" s="50" t="s">
        <v>103</v>
      </c>
      <c r="B9" s="50" t="s">
        <v>22</v>
      </c>
      <c r="C9" s="51">
        <f>'[2]Source Data'!C45</f>
        <v>18866</v>
      </c>
      <c r="D9" s="51">
        <f>'[2]Source Data'!D45</f>
        <v>21237</v>
      </c>
      <c r="E9" s="51">
        <f>'[2]Source Data'!E45</f>
        <v>23498</v>
      </c>
      <c r="F9" s="51">
        <f>'[2]Source Data'!F45</f>
        <v>505</v>
      </c>
      <c r="G9" s="51">
        <f>'[2]Source Data'!G45</f>
        <v>0</v>
      </c>
      <c r="H9" s="51">
        <f>'[2]Source Data'!H45</f>
        <v>0</v>
      </c>
      <c r="I9" s="52">
        <f>AVERAGE('[2]Source Data'!C45:H45)</f>
        <v>10684.333333333334</v>
      </c>
      <c r="J9" s="51">
        <f t="shared" si="0"/>
        <v>0</v>
      </c>
      <c r="K9" s="51">
        <f t="shared" si="1"/>
        <v>23498</v>
      </c>
    </row>
    <row r="10" spans="1:13" x14ac:dyDescent="0.3">
      <c r="A10" s="50" t="s">
        <v>104</v>
      </c>
      <c r="B10" s="50" t="s">
        <v>20</v>
      </c>
      <c r="C10" s="51">
        <f>'[2]Source Data'!C46</f>
        <v>12980</v>
      </c>
      <c r="D10" s="51">
        <f>'[2]Source Data'!D46</f>
        <v>15183</v>
      </c>
      <c r="E10" s="51">
        <f>'[2]Source Data'!E46</f>
        <v>11291</v>
      </c>
      <c r="F10" s="51">
        <f>'[2]Source Data'!F46</f>
        <v>14401</v>
      </c>
      <c r="G10" s="51">
        <f>'[2]Source Data'!G46</f>
        <v>19505</v>
      </c>
      <c r="H10" s="51">
        <f>'[2]Source Data'!H46</f>
        <v>17059</v>
      </c>
      <c r="I10" s="52">
        <f>AVERAGE('[2]Source Data'!C46:H46)</f>
        <v>15069.833333333334</v>
      </c>
      <c r="J10" s="51">
        <f t="shared" si="0"/>
        <v>11291</v>
      </c>
      <c r="K10" s="51">
        <f t="shared" si="1"/>
        <v>19505</v>
      </c>
    </row>
    <row r="11" spans="1:13" x14ac:dyDescent="0.3">
      <c r="A11" s="50" t="s">
        <v>105</v>
      </c>
      <c r="B11" s="50" t="s">
        <v>20</v>
      </c>
      <c r="C11" s="51">
        <f>'[2]Source Data'!C47</f>
        <v>17</v>
      </c>
      <c r="D11" s="51">
        <f>'[2]Source Data'!D47</f>
        <v>14</v>
      </c>
      <c r="E11" s="51">
        <f>'[2]Source Data'!E47</f>
        <v>15</v>
      </c>
      <c r="F11" s="51">
        <f>'[2]Source Data'!F47</f>
        <v>20</v>
      </c>
      <c r="G11" s="51">
        <f>'[2]Source Data'!G47</f>
        <v>20</v>
      </c>
      <c r="H11" s="51">
        <f>'[2]Source Data'!H47</f>
        <v>24</v>
      </c>
      <c r="I11" s="52">
        <f>AVERAGE('[2]Source Data'!C47:H47)</f>
        <v>18.333333333333332</v>
      </c>
      <c r="J11" s="51">
        <f t="shared" si="0"/>
        <v>14</v>
      </c>
      <c r="K11" s="51">
        <f t="shared" si="1"/>
        <v>24</v>
      </c>
    </row>
    <row r="12" spans="1:13" x14ac:dyDescent="0.3">
      <c r="A12" s="50" t="s">
        <v>106</v>
      </c>
      <c r="B12" s="50" t="s">
        <v>28</v>
      </c>
      <c r="C12" s="51">
        <f>'[2]Source Data'!C48</f>
        <v>948</v>
      </c>
      <c r="D12" s="51">
        <f>'[2]Source Data'!D48</f>
        <v>877</v>
      </c>
      <c r="E12" s="51">
        <f>'[2]Source Data'!E48</f>
        <v>969</v>
      </c>
      <c r="F12" s="51">
        <f>'[2]Source Data'!F48</f>
        <v>1118</v>
      </c>
      <c r="G12" s="51">
        <f>'[2]Source Data'!G48</f>
        <v>1221</v>
      </c>
      <c r="H12" s="51">
        <f>'[2]Source Data'!H48</f>
        <v>1115</v>
      </c>
      <c r="I12" s="52">
        <f>AVERAGE('[2]Source Data'!C48:H48)</f>
        <v>1041.3333333333333</v>
      </c>
      <c r="J12" s="51">
        <f t="shared" si="0"/>
        <v>877</v>
      </c>
      <c r="K12" s="51">
        <f t="shared" si="1"/>
        <v>1221</v>
      </c>
    </row>
    <row r="13" spans="1:13" x14ac:dyDescent="0.3">
      <c r="A13" s="50" t="s">
        <v>107</v>
      </c>
      <c r="B13" s="50" t="s">
        <v>28</v>
      </c>
      <c r="C13" s="51">
        <f>'[2]Source Data'!C49</f>
        <v>5908</v>
      </c>
      <c r="D13" s="51">
        <f>'[2]Source Data'!D49</f>
        <v>6377</v>
      </c>
      <c r="E13" s="51">
        <f>'[2]Source Data'!E49</f>
        <v>7284</v>
      </c>
      <c r="F13" s="51">
        <f>'[2]Source Data'!F49</f>
        <v>7438</v>
      </c>
      <c r="G13" s="51">
        <f>'[2]Source Data'!G49</f>
        <v>7233</v>
      </c>
      <c r="H13" s="51">
        <f>'[2]Source Data'!H49</f>
        <v>7639</v>
      </c>
      <c r="I13" s="52">
        <f>AVERAGE('[2]Source Data'!C49:H49)</f>
        <v>6979.833333333333</v>
      </c>
      <c r="J13" s="51">
        <f t="shared" si="0"/>
        <v>5908</v>
      </c>
      <c r="K13" s="51">
        <f t="shared" si="1"/>
        <v>7639</v>
      </c>
    </row>
    <row r="14" spans="1:13" x14ac:dyDescent="0.3">
      <c r="A14" s="50" t="s">
        <v>108</v>
      </c>
      <c r="B14" s="50" t="s">
        <v>26</v>
      </c>
      <c r="C14" s="51">
        <f>'[2]Source Data'!C50</f>
        <v>159</v>
      </c>
      <c r="D14" s="51">
        <f>'[2]Source Data'!D50</f>
        <v>129</v>
      </c>
      <c r="E14" s="51">
        <f>'[2]Source Data'!E50</f>
        <v>178</v>
      </c>
      <c r="F14" s="51">
        <f>'[2]Source Data'!F50</f>
        <v>159</v>
      </c>
      <c r="G14" s="51">
        <f>'[2]Source Data'!G50</f>
        <v>205</v>
      </c>
      <c r="H14" s="51">
        <f>'[2]Source Data'!H50</f>
        <v>205</v>
      </c>
      <c r="I14" s="52">
        <f>AVERAGE('[2]Source Data'!C50:H50)</f>
        <v>172.5</v>
      </c>
      <c r="J14" s="51">
        <f t="shared" si="0"/>
        <v>129</v>
      </c>
      <c r="K14" s="51">
        <f t="shared" si="1"/>
        <v>205</v>
      </c>
    </row>
    <row r="15" spans="1:13" x14ac:dyDescent="0.3">
      <c r="A15" s="50" t="s">
        <v>109</v>
      </c>
      <c r="B15" s="50" t="s">
        <v>26</v>
      </c>
      <c r="C15" s="51">
        <f>'[2]Source Data'!C51</f>
        <v>3998</v>
      </c>
      <c r="D15" s="51">
        <f>'[2]Source Data'!D51</f>
        <v>3098</v>
      </c>
      <c r="E15" s="51">
        <f>'[2]Source Data'!E51</f>
        <v>4409</v>
      </c>
      <c r="F15" s="51">
        <f>'[2]Source Data'!F51</f>
        <v>4063</v>
      </c>
      <c r="G15" s="51">
        <f>'[2]Source Data'!G51</f>
        <v>4891</v>
      </c>
      <c r="H15" s="51">
        <f>'[2]Source Data'!H51</f>
        <v>5448</v>
      </c>
      <c r="I15" s="52">
        <f>AVERAGE('[2]Source Data'!C51:H51)</f>
        <v>4317.833333333333</v>
      </c>
      <c r="J15" s="51">
        <f t="shared" si="0"/>
        <v>3098</v>
      </c>
      <c r="K15" s="51">
        <f t="shared" si="1"/>
        <v>5448</v>
      </c>
    </row>
    <row r="16" spans="1:13" x14ac:dyDescent="0.3">
      <c r="A16" s="50" t="s">
        <v>110</v>
      </c>
      <c r="B16" s="50" t="s">
        <v>18</v>
      </c>
      <c r="C16" s="51">
        <f>'[2]Source Data'!C52</f>
        <v>7806</v>
      </c>
      <c r="D16" s="51">
        <f>'[2]Source Data'!D52</f>
        <v>6417</v>
      </c>
      <c r="E16" s="51">
        <f>'[2]Source Data'!E52</f>
        <v>10858</v>
      </c>
      <c r="F16" s="51">
        <f>'[2]Source Data'!F52</f>
        <v>9932</v>
      </c>
      <c r="G16" s="51">
        <f>'[2]Source Data'!G52</f>
        <v>8114</v>
      </c>
      <c r="H16" s="51">
        <f>'[2]Source Data'!H52</f>
        <v>13304</v>
      </c>
      <c r="I16" s="52">
        <f>AVERAGE('[2]Source Data'!C52:H52)</f>
        <v>9405.1666666666661</v>
      </c>
      <c r="J16" s="51">
        <f t="shared" si="0"/>
        <v>6417</v>
      </c>
      <c r="K16" s="51">
        <f t="shared" si="1"/>
        <v>13304</v>
      </c>
    </row>
    <row r="17" spans="1:11" x14ac:dyDescent="0.3">
      <c r="A17" s="50" t="s">
        <v>111</v>
      </c>
      <c r="B17" s="50" t="s">
        <v>28</v>
      </c>
      <c r="C17" s="51">
        <f>'[2]Source Data'!C53</f>
        <v>9239</v>
      </c>
      <c r="D17" s="51">
        <f>'[2]Source Data'!D53</f>
        <v>11769</v>
      </c>
      <c r="E17" s="51">
        <f>'[2]Source Data'!E53</f>
        <v>14172</v>
      </c>
      <c r="F17" s="51">
        <f>'[2]Source Data'!F53</f>
        <v>12641</v>
      </c>
      <c r="G17" s="51">
        <f>'[2]Source Data'!G53</f>
        <v>16058</v>
      </c>
      <c r="H17" s="51">
        <f>'[2]Source Data'!H53</f>
        <v>16628</v>
      </c>
      <c r="I17" s="52">
        <f>AVERAGE('[2]Source Data'!C53:H53)</f>
        <v>13417.833333333334</v>
      </c>
      <c r="J17" s="51">
        <f t="shared" si="0"/>
        <v>9239</v>
      </c>
      <c r="K17" s="51">
        <f t="shared" si="1"/>
        <v>16628</v>
      </c>
    </row>
    <row r="18" spans="1:11" x14ac:dyDescent="0.3">
      <c r="A18" s="50" t="s">
        <v>112</v>
      </c>
      <c r="B18" s="50" t="s">
        <v>20</v>
      </c>
      <c r="C18" s="51">
        <f>'[2]Source Data'!C54</f>
        <v>6108</v>
      </c>
      <c r="D18" s="51">
        <f>'[2]Source Data'!D54</f>
        <v>6163</v>
      </c>
      <c r="E18" s="51">
        <f>'[2]Source Data'!E54</f>
        <v>6430</v>
      </c>
      <c r="F18" s="51">
        <f>'[2]Source Data'!F54</f>
        <v>6123</v>
      </c>
      <c r="G18" s="51">
        <f>'[2]Source Data'!G54</f>
        <v>8069</v>
      </c>
      <c r="H18" s="51">
        <f>'[2]Source Data'!H54</f>
        <v>8824</v>
      </c>
      <c r="I18" s="52">
        <f>AVERAGE('[2]Source Data'!C54:H54)</f>
        <v>6952.833333333333</v>
      </c>
      <c r="J18" s="51">
        <f t="shared" si="0"/>
        <v>6108</v>
      </c>
      <c r="K18" s="51">
        <f t="shared" si="1"/>
        <v>8824</v>
      </c>
    </row>
    <row r="19" spans="1:11" x14ac:dyDescent="0.3">
      <c r="A19" s="50" t="s">
        <v>113</v>
      </c>
      <c r="B19" s="50" t="s">
        <v>24</v>
      </c>
      <c r="C19" s="51">
        <f>'[2]Source Data'!C55</f>
        <v>423</v>
      </c>
      <c r="D19" s="51">
        <f>'[2]Source Data'!D55</f>
        <v>649</v>
      </c>
      <c r="E19" s="51">
        <f>'[2]Source Data'!E55</f>
        <v>230</v>
      </c>
      <c r="F19" s="51">
        <f>'[2]Source Data'!F55</f>
        <v>475</v>
      </c>
      <c r="G19" s="51">
        <f>'[2]Source Data'!G55</f>
        <v>418</v>
      </c>
      <c r="H19" s="51">
        <f>'[2]Source Data'!H55</f>
        <v>408</v>
      </c>
      <c r="I19" s="52">
        <f>AVERAGE('[2]Source Data'!C55:H55)</f>
        <v>433.83333333333331</v>
      </c>
      <c r="J19" s="51">
        <f t="shared" si="0"/>
        <v>230</v>
      </c>
      <c r="K19" s="51">
        <f t="shared" si="1"/>
        <v>649</v>
      </c>
    </row>
    <row r="20" spans="1:11" x14ac:dyDescent="0.3">
      <c r="A20" s="50" t="s">
        <v>114</v>
      </c>
      <c r="B20" s="50" t="s">
        <v>20</v>
      </c>
      <c r="C20" s="51">
        <f>'[2]Source Data'!C56</f>
        <v>4285</v>
      </c>
      <c r="D20" s="51">
        <f>'[2]Source Data'!D56</f>
        <v>6046</v>
      </c>
      <c r="E20" s="51">
        <f>'[2]Source Data'!E56</f>
        <v>2374</v>
      </c>
      <c r="F20" s="51">
        <f>'[2]Source Data'!F56</f>
        <v>4546</v>
      </c>
      <c r="G20" s="51">
        <f>'[2]Source Data'!G56</f>
        <v>5124</v>
      </c>
      <c r="H20" s="51">
        <f>'[2]Source Data'!H56</f>
        <v>4714</v>
      </c>
      <c r="I20" s="52">
        <f>AVERAGE('[2]Source Data'!C56:H56)</f>
        <v>4514.833333333333</v>
      </c>
      <c r="J20" s="51">
        <f t="shared" si="0"/>
        <v>2374</v>
      </c>
      <c r="K20" s="51">
        <f t="shared" si="1"/>
        <v>6046</v>
      </c>
    </row>
    <row r="21" spans="1:11" x14ac:dyDescent="0.3">
      <c r="A21" s="50" t="s">
        <v>115</v>
      </c>
      <c r="B21" s="50" t="s">
        <v>24</v>
      </c>
      <c r="C21" s="51">
        <f>'[2]Source Data'!C57</f>
        <v>2183</v>
      </c>
      <c r="D21" s="51">
        <f>'[2]Source Data'!D57</f>
        <v>3260</v>
      </c>
      <c r="E21" s="51">
        <f>'[2]Source Data'!E57</f>
        <v>1297</v>
      </c>
      <c r="F21" s="51">
        <f>'[2]Source Data'!F57</f>
        <v>2289</v>
      </c>
      <c r="G21" s="51">
        <f>'[2]Source Data'!G57</f>
        <v>2421</v>
      </c>
      <c r="H21" s="51">
        <f>'[2]Source Data'!H57</f>
        <v>2343</v>
      </c>
      <c r="I21" s="52">
        <f>AVERAGE('[2]Source Data'!C57:H57)</f>
        <v>2298.8333333333335</v>
      </c>
      <c r="J21" s="51">
        <f t="shared" si="0"/>
        <v>1297</v>
      </c>
      <c r="K21" s="51">
        <f t="shared" si="1"/>
        <v>3260</v>
      </c>
    </row>
    <row r="22" spans="1:11" x14ac:dyDescent="0.3">
      <c r="A22" s="50" t="s">
        <v>116</v>
      </c>
      <c r="B22" s="50" t="s">
        <v>22</v>
      </c>
      <c r="C22" s="51">
        <f>'[2]Source Data'!C58</f>
        <v>9112</v>
      </c>
      <c r="D22" s="51">
        <f>'[2]Source Data'!D58</f>
        <v>12061</v>
      </c>
      <c r="E22" s="51">
        <f>'[2]Source Data'!E58</f>
        <v>5667</v>
      </c>
      <c r="F22" s="51">
        <f>'[2]Source Data'!F58</f>
        <v>10368</v>
      </c>
      <c r="G22" s="51">
        <f>'[2]Source Data'!G58</f>
        <v>12047</v>
      </c>
      <c r="H22" s="51">
        <f>'[2]Source Data'!H58</f>
        <v>11755</v>
      </c>
      <c r="I22" s="52">
        <f>AVERAGE('[2]Source Data'!C58:H58)</f>
        <v>10168.333333333334</v>
      </c>
      <c r="J22" s="51">
        <f t="shared" si="0"/>
        <v>5667</v>
      </c>
      <c r="K22" s="51">
        <f t="shared" si="1"/>
        <v>12061</v>
      </c>
    </row>
    <row r="23" spans="1:11" x14ac:dyDescent="0.3">
      <c r="A23" s="50" t="s">
        <v>117</v>
      </c>
      <c r="B23" s="50" t="s">
        <v>20</v>
      </c>
      <c r="C23" s="51">
        <f>'[2]Source Data'!C59</f>
        <v>5558</v>
      </c>
      <c r="D23" s="51">
        <f>'[2]Source Data'!D59</f>
        <v>9000</v>
      </c>
      <c r="E23" s="51">
        <f>'[2]Source Data'!E59</f>
        <v>3463</v>
      </c>
      <c r="F23" s="51">
        <f>'[2]Source Data'!F59</f>
        <v>7160</v>
      </c>
      <c r="G23" s="51">
        <f>'[2]Source Data'!G59</f>
        <v>7644</v>
      </c>
      <c r="H23" s="51">
        <f>'[2]Source Data'!H59</f>
        <v>7303</v>
      </c>
      <c r="I23" s="52">
        <f>AVERAGE('[2]Source Data'!C59:H59)</f>
        <v>6688</v>
      </c>
      <c r="J23" s="51">
        <f t="shared" si="0"/>
        <v>3463</v>
      </c>
      <c r="K23" s="51">
        <f t="shared" si="1"/>
        <v>9000</v>
      </c>
    </row>
    <row r="24" spans="1:11" x14ac:dyDescent="0.3">
      <c r="A24" s="50" t="s">
        <v>118</v>
      </c>
      <c r="B24" s="50" t="s">
        <v>20</v>
      </c>
      <c r="C24" s="51">
        <f>'[2]Source Data'!C60</f>
        <v>598</v>
      </c>
      <c r="D24" s="51">
        <f>'[2]Source Data'!D60</f>
        <v>1319</v>
      </c>
      <c r="E24" s="51">
        <f>'[2]Source Data'!E60</f>
        <v>636</v>
      </c>
      <c r="F24" s="51">
        <f>'[2]Source Data'!F60</f>
        <v>1157</v>
      </c>
      <c r="G24" s="51">
        <f>'[2]Source Data'!G60</f>
        <v>1242</v>
      </c>
      <c r="H24" s="51">
        <f>'[2]Source Data'!H60</f>
        <v>1074</v>
      </c>
      <c r="I24" s="52">
        <f>AVERAGE('[2]Source Data'!C60:H60)</f>
        <v>1004.3333333333334</v>
      </c>
      <c r="J24" s="51">
        <f t="shared" si="0"/>
        <v>598</v>
      </c>
      <c r="K24" s="51">
        <f t="shared" si="1"/>
        <v>1319</v>
      </c>
    </row>
    <row r="25" spans="1:11" x14ac:dyDescent="0.3">
      <c r="A25" s="50" t="s">
        <v>119</v>
      </c>
      <c r="B25" s="50" t="s">
        <v>20</v>
      </c>
      <c r="C25" s="51">
        <f>'[2]Source Data'!C61</f>
        <v>0</v>
      </c>
      <c r="D25" s="51">
        <f>'[2]Source Data'!D61</f>
        <v>1276</v>
      </c>
      <c r="E25" s="51">
        <f>'[2]Source Data'!E61</f>
        <v>729</v>
      </c>
      <c r="F25" s="51">
        <f>'[2]Source Data'!F61</f>
        <v>11522</v>
      </c>
      <c r="G25" s="51">
        <f>'[2]Source Data'!G61</f>
        <v>16298</v>
      </c>
      <c r="H25" s="51">
        <f>'[2]Source Data'!H61</f>
        <v>14388</v>
      </c>
      <c r="I25" s="52">
        <f>AVERAGE('[2]Source Data'!C61:H61)</f>
        <v>7368.833333333333</v>
      </c>
      <c r="J25" s="51">
        <f t="shared" si="0"/>
        <v>0</v>
      </c>
      <c r="K25" s="51">
        <f t="shared" si="1"/>
        <v>16298</v>
      </c>
    </row>
    <row r="26" spans="1:11" x14ac:dyDescent="0.3">
      <c r="A26" s="50" t="s">
        <v>120</v>
      </c>
      <c r="B26" s="50" t="s">
        <v>24</v>
      </c>
      <c r="C26" s="51">
        <f>'[2]Source Data'!C62</f>
        <v>6501</v>
      </c>
      <c r="D26" s="51">
        <f>'[2]Source Data'!D62</f>
        <v>11156</v>
      </c>
      <c r="E26" s="51">
        <f>'[2]Source Data'!E62</f>
        <v>4705</v>
      </c>
      <c r="F26" s="51">
        <f>'[2]Source Data'!F62</f>
        <v>9704</v>
      </c>
      <c r="G26" s="51">
        <f>'[2]Source Data'!G62</f>
        <v>9453</v>
      </c>
      <c r="H26" s="51">
        <f>'[2]Source Data'!H62</f>
        <v>8346</v>
      </c>
      <c r="I26" s="52">
        <f>AVERAGE('[2]Source Data'!C62:H62)</f>
        <v>8310.8333333333339</v>
      </c>
      <c r="J26" s="51">
        <f t="shared" si="0"/>
        <v>4705</v>
      </c>
      <c r="K26" s="51">
        <f t="shared" si="1"/>
        <v>11156</v>
      </c>
    </row>
    <row r="27" spans="1:11" x14ac:dyDescent="0.3">
      <c r="A27" s="50" t="s">
        <v>121</v>
      </c>
      <c r="B27" s="50" t="s">
        <v>18</v>
      </c>
      <c r="C27" s="51">
        <f>'[2]Source Data'!C63</f>
        <v>45808</v>
      </c>
      <c r="D27" s="51">
        <f>'[2]Source Data'!D63</f>
        <v>84844</v>
      </c>
      <c r="E27" s="51">
        <f>'[2]Source Data'!E63</f>
        <v>31745</v>
      </c>
      <c r="F27" s="51">
        <f>'[2]Source Data'!F63</f>
        <v>67839</v>
      </c>
      <c r="G27" s="51">
        <f>'[2]Source Data'!G63</f>
        <v>59732</v>
      </c>
      <c r="H27" s="51">
        <f>'[2]Source Data'!H63</f>
        <v>49798</v>
      </c>
      <c r="I27" s="52">
        <f>AVERAGE('[2]Source Data'!C63:H63)</f>
        <v>56627.666666666664</v>
      </c>
      <c r="J27" s="51">
        <f t="shared" si="0"/>
        <v>31745</v>
      </c>
      <c r="K27" s="51">
        <f t="shared" si="1"/>
        <v>84844</v>
      </c>
    </row>
    <row r="28" spans="1:11" x14ac:dyDescent="0.3">
      <c r="A28" s="50" t="s">
        <v>122</v>
      </c>
      <c r="B28" s="50" t="s">
        <v>28</v>
      </c>
      <c r="C28" s="51">
        <f>'[2]Source Data'!C64</f>
        <v>5642</v>
      </c>
      <c r="D28" s="51">
        <f>'[2]Source Data'!D64</f>
        <v>6983</v>
      </c>
      <c r="E28" s="51">
        <f>'[2]Source Data'!E64</f>
        <v>3368</v>
      </c>
      <c r="F28" s="51">
        <f>'[2]Source Data'!F64</f>
        <v>5528</v>
      </c>
      <c r="G28" s="51">
        <f>'[2]Source Data'!G64</f>
        <v>6080</v>
      </c>
      <c r="H28" s="51">
        <f>'[2]Source Data'!H64</f>
        <v>5823</v>
      </c>
      <c r="I28" s="52">
        <f>AVERAGE('[2]Source Data'!C64:H64)</f>
        <v>5570.666666666667</v>
      </c>
      <c r="J28" s="51">
        <f t="shared" si="0"/>
        <v>3368</v>
      </c>
      <c r="K28" s="51">
        <f t="shared" si="1"/>
        <v>6983</v>
      </c>
    </row>
    <row r="29" spans="1:11" x14ac:dyDescent="0.3">
      <c r="A29" s="50" t="s">
        <v>123</v>
      </c>
      <c r="B29" s="50" t="s">
        <v>32</v>
      </c>
      <c r="C29" s="51">
        <f>'[2]Source Data'!C65</f>
        <v>1492</v>
      </c>
      <c r="D29" s="51">
        <f>'[2]Source Data'!D65</f>
        <v>2387</v>
      </c>
      <c r="E29" s="51">
        <f>'[2]Source Data'!E65</f>
        <v>723</v>
      </c>
      <c r="F29" s="51">
        <f>'[2]Source Data'!F65</f>
        <v>1239</v>
      </c>
      <c r="G29" s="51">
        <f>'[2]Source Data'!G65</f>
        <v>1221</v>
      </c>
      <c r="H29" s="51">
        <f>'[2]Source Data'!H65</f>
        <v>1162</v>
      </c>
      <c r="I29" s="52">
        <f>AVERAGE('[2]Source Data'!C65:H65)</f>
        <v>1370.6666666666667</v>
      </c>
      <c r="J29" s="51">
        <f t="shared" si="0"/>
        <v>723</v>
      </c>
      <c r="K29" s="51">
        <f t="shared" si="1"/>
        <v>2387</v>
      </c>
    </row>
    <row r="30" spans="1:11" x14ac:dyDescent="0.3">
      <c r="A30" s="50" t="s">
        <v>124</v>
      </c>
      <c r="B30" s="50" t="s">
        <v>32</v>
      </c>
      <c r="C30" s="51">
        <f>'[2]Source Data'!C66</f>
        <v>46177</v>
      </c>
      <c r="D30" s="51">
        <f>'[2]Source Data'!D66</f>
        <v>52908</v>
      </c>
      <c r="E30" s="51">
        <f>'[2]Source Data'!E66</f>
        <v>26516</v>
      </c>
      <c r="F30" s="51">
        <f>'[2]Source Data'!F66</f>
        <v>39408</v>
      </c>
      <c r="G30" s="51">
        <f>'[2]Source Data'!G66</f>
        <v>49084</v>
      </c>
      <c r="H30" s="51">
        <f>'[2]Source Data'!H66</f>
        <v>45873</v>
      </c>
      <c r="I30" s="52">
        <f>AVERAGE('[2]Source Data'!C66:H66)</f>
        <v>43327.666666666664</v>
      </c>
      <c r="J30" s="51">
        <f t="shared" si="0"/>
        <v>26516</v>
      </c>
      <c r="K30" s="51">
        <f t="shared" si="1"/>
        <v>52908</v>
      </c>
    </row>
    <row r="31" spans="1:11" x14ac:dyDescent="0.3">
      <c r="A31" s="50" t="s">
        <v>125</v>
      </c>
      <c r="B31" s="50" t="s">
        <v>20</v>
      </c>
      <c r="C31" s="51">
        <f>'[2]Source Data'!C67</f>
        <v>1592</v>
      </c>
      <c r="D31" s="51">
        <f>'[2]Source Data'!D67</f>
        <v>2049</v>
      </c>
      <c r="E31" s="51">
        <f>'[2]Source Data'!E67</f>
        <v>949</v>
      </c>
      <c r="F31" s="51">
        <f>'[2]Source Data'!F67</f>
        <v>1583</v>
      </c>
      <c r="G31" s="51">
        <f>'[2]Source Data'!G67</f>
        <v>1478</v>
      </c>
      <c r="H31" s="51">
        <f>'[2]Source Data'!H67</f>
        <v>1301</v>
      </c>
      <c r="I31" s="52">
        <f>AVERAGE('[2]Source Data'!C67:H67)</f>
        <v>1492</v>
      </c>
      <c r="J31" s="51">
        <f t="shared" si="0"/>
        <v>949</v>
      </c>
      <c r="K31" s="51">
        <f t="shared" si="1"/>
        <v>2049</v>
      </c>
    </row>
    <row r="32" spans="1:11" x14ac:dyDescent="0.3">
      <c r="A32" s="50" t="s">
        <v>126</v>
      </c>
      <c r="B32" s="50" t="s">
        <v>30</v>
      </c>
      <c r="C32" s="51">
        <f>'[2]Source Data'!C68</f>
        <v>14116</v>
      </c>
      <c r="D32" s="51">
        <f>'[2]Source Data'!D68</f>
        <v>11473</v>
      </c>
      <c r="E32" s="51">
        <f>'[2]Source Data'!E68</f>
        <v>15156</v>
      </c>
      <c r="F32" s="51">
        <f>'[2]Source Data'!F68</f>
        <v>16010</v>
      </c>
      <c r="G32" s="51">
        <f>'[2]Source Data'!G68</f>
        <v>19272</v>
      </c>
      <c r="H32" s="51">
        <f>'[2]Source Data'!H68</f>
        <v>17777</v>
      </c>
      <c r="I32" s="52">
        <f>AVERAGE('[2]Source Data'!C68:H68)</f>
        <v>15634</v>
      </c>
      <c r="J32" s="51">
        <f t="shared" si="0"/>
        <v>11473</v>
      </c>
      <c r="K32" s="51">
        <f t="shared" si="1"/>
        <v>19272</v>
      </c>
    </row>
    <row r="33" spans="1:11" x14ac:dyDescent="0.3">
      <c r="A33" s="50" t="s">
        <v>127</v>
      </c>
      <c r="B33" s="50" t="s">
        <v>20</v>
      </c>
      <c r="C33" s="51">
        <f>'[2]Source Data'!C69</f>
        <v>4498</v>
      </c>
      <c r="D33" s="51">
        <f>'[2]Source Data'!D69</f>
        <v>5008</v>
      </c>
      <c r="E33" s="51">
        <f>'[2]Source Data'!E69</f>
        <v>5893</v>
      </c>
      <c r="F33" s="51">
        <f>'[2]Source Data'!F69</f>
        <v>6272</v>
      </c>
      <c r="G33" s="51">
        <f>'[2]Source Data'!G69</f>
        <v>5836</v>
      </c>
      <c r="H33" s="51">
        <f>'[2]Source Data'!H69</f>
        <v>5644</v>
      </c>
      <c r="I33" s="52">
        <f>AVERAGE('[2]Source Data'!C69:H69)</f>
        <v>5525.166666666667</v>
      </c>
      <c r="J33" s="51">
        <f t="shared" si="0"/>
        <v>4498</v>
      </c>
      <c r="K33" s="51">
        <f t="shared" si="1"/>
        <v>6272</v>
      </c>
    </row>
    <row r="34" spans="1:11" x14ac:dyDescent="0.3">
      <c r="A34" s="53" t="s">
        <v>151</v>
      </c>
      <c r="B34" s="54"/>
      <c r="C34" s="55">
        <f t="shared" ref="C34:I34" si="2">SUM(C7:C33)</f>
        <v>345965</v>
      </c>
      <c r="D34" s="55">
        <f t="shared" si="2"/>
        <v>415654</v>
      </c>
      <c r="E34" s="55">
        <f t="shared" si="2"/>
        <v>343456</v>
      </c>
      <c r="F34" s="55">
        <f t="shared" si="2"/>
        <v>415505</v>
      </c>
      <c r="G34" s="55">
        <f t="shared" si="2"/>
        <v>445660</v>
      </c>
      <c r="H34" s="55">
        <f t="shared" si="2"/>
        <v>422049</v>
      </c>
      <c r="I34" s="55">
        <f t="shared" si="2"/>
        <v>398048.16666666686</v>
      </c>
      <c r="J34" s="54"/>
      <c r="K34" s="54"/>
    </row>
    <row r="36" spans="1:11" ht="15.6" x14ac:dyDescent="0.3">
      <c r="A36" s="70" t="s">
        <v>152</v>
      </c>
      <c r="B36" s="71"/>
      <c r="C36" s="71"/>
      <c r="D36" s="71"/>
      <c r="E36" s="71"/>
      <c r="F36" s="71"/>
      <c r="G36" s="71"/>
      <c r="H36" s="71"/>
    </row>
    <row r="37" spans="1:11" x14ac:dyDescent="0.3">
      <c r="A37" s="56" t="s">
        <v>100</v>
      </c>
      <c r="B37" s="57" t="s">
        <v>17</v>
      </c>
      <c r="C37" s="57" t="s">
        <v>19</v>
      </c>
      <c r="D37" s="57" t="s">
        <v>21</v>
      </c>
      <c r="E37" s="57" t="s">
        <v>23</v>
      </c>
      <c r="F37" s="57" t="s">
        <v>25</v>
      </c>
      <c r="G37" s="57" t="s">
        <v>27</v>
      </c>
      <c r="H37" s="57" t="s">
        <v>148</v>
      </c>
    </row>
    <row r="38" spans="1:11" x14ac:dyDescent="0.3">
      <c r="A38" s="50" t="s">
        <v>101</v>
      </c>
      <c r="B38" s="58">
        <f t="shared" ref="B38:G53" si="3">IF($I7=0,0,(C7-$I7)/$I7)</f>
        <v>-0.18786107290233839</v>
      </c>
      <c r="C38" s="58">
        <f t="shared" si="3"/>
        <v>-0.15279229711141679</v>
      </c>
      <c r="D38" s="58">
        <f t="shared" si="3"/>
        <v>3.2544704264099035E-2</v>
      </c>
      <c r="E38" s="58">
        <f t="shared" si="3"/>
        <v>9.4229711141678135E-2</v>
      </c>
      <c r="F38" s="58">
        <f t="shared" si="3"/>
        <v>0.13508940852819806</v>
      </c>
      <c r="G38" s="58">
        <f t="shared" si="3"/>
        <v>7.8789546079779921E-2</v>
      </c>
      <c r="H38" s="59">
        <f t="shared" ref="H38:H64" si="4">MAX(ABS(B38),ABS(C38),ABS(D38),ABS(E38),ABS(F38),ABS(G38))</f>
        <v>0.18786107290233839</v>
      </c>
    </row>
    <row r="39" spans="1:11" x14ac:dyDescent="0.3">
      <c r="A39" s="50" t="s">
        <v>102</v>
      </c>
      <c r="B39" s="58">
        <f t="shared" si="3"/>
        <v>-2.712942607231391E-2</v>
      </c>
      <c r="C39" s="58">
        <f t="shared" si="3"/>
        <v>-0.24315917489124839</v>
      </c>
      <c r="D39" s="58">
        <f t="shared" si="3"/>
        <v>-0.24442209644978713</v>
      </c>
      <c r="E39" s="58">
        <f t="shared" si="3"/>
        <v>4.5699050470087516E-2</v>
      </c>
      <c r="F39" s="58">
        <f t="shared" si="3"/>
        <v>0.25955376771598304</v>
      </c>
      <c r="G39" s="58">
        <f t="shared" si="3"/>
        <v>0.20945787922727915</v>
      </c>
      <c r="H39" s="59">
        <f t="shared" si="4"/>
        <v>0.25955376771598304</v>
      </c>
    </row>
    <row r="40" spans="1:11" x14ac:dyDescent="0.3">
      <c r="A40" s="50" t="s">
        <v>103</v>
      </c>
      <c r="B40" s="58">
        <f t="shared" si="3"/>
        <v>0.76576295510560621</v>
      </c>
      <c r="C40" s="58">
        <f t="shared" si="3"/>
        <v>0.98767666053099545</v>
      </c>
      <c r="D40" s="58">
        <f t="shared" si="3"/>
        <v>1.1992949177924062</v>
      </c>
      <c r="E40" s="58">
        <f t="shared" si="3"/>
        <v>-0.95273453342900816</v>
      </c>
      <c r="F40" s="58">
        <f t="shared" si="3"/>
        <v>-1</v>
      </c>
      <c r="G40" s="58">
        <f t="shared" si="3"/>
        <v>-1</v>
      </c>
      <c r="H40" s="59">
        <f t="shared" si="4"/>
        <v>1.1992949177924062</v>
      </c>
    </row>
    <row r="41" spans="1:11" x14ac:dyDescent="0.3">
      <c r="A41" s="50" t="s">
        <v>104</v>
      </c>
      <c r="B41" s="58">
        <f t="shared" si="3"/>
        <v>-0.13867660558068551</v>
      </c>
      <c r="C41" s="58">
        <f t="shared" si="3"/>
        <v>7.5094836262289601E-3</v>
      </c>
      <c r="D41" s="58">
        <f t="shared" si="3"/>
        <v>-0.25075481923047149</v>
      </c>
      <c r="E41" s="58">
        <f t="shared" si="3"/>
        <v>-4.4382264789480125E-2</v>
      </c>
      <c r="F41" s="58">
        <f t="shared" si="3"/>
        <v>0.2943076123381147</v>
      </c>
      <c r="G41" s="58">
        <f t="shared" si="3"/>
        <v>0.13199659363629321</v>
      </c>
      <c r="H41" s="59">
        <f t="shared" si="4"/>
        <v>0.2943076123381147</v>
      </c>
    </row>
    <row r="42" spans="1:11" x14ac:dyDescent="0.3">
      <c r="A42" s="50" t="s">
        <v>105</v>
      </c>
      <c r="B42" s="58">
        <f t="shared" si="3"/>
        <v>-7.2727272727272668E-2</v>
      </c>
      <c r="C42" s="58">
        <f t="shared" si="3"/>
        <v>-0.2363636363636363</v>
      </c>
      <c r="D42" s="58">
        <f t="shared" si="3"/>
        <v>-0.18181818181818177</v>
      </c>
      <c r="E42" s="58">
        <f t="shared" si="3"/>
        <v>9.0909090909090981E-2</v>
      </c>
      <c r="F42" s="58">
        <f t="shared" si="3"/>
        <v>9.0909090909090981E-2</v>
      </c>
      <c r="G42" s="58">
        <f t="shared" si="3"/>
        <v>0.30909090909090919</v>
      </c>
      <c r="H42" s="59">
        <f t="shared" si="4"/>
        <v>0.30909090909090919</v>
      </c>
    </row>
    <row r="43" spans="1:11" x14ac:dyDescent="0.3">
      <c r="A43" s="50" t="s">
        <v>106</v>
      </c>
      <c r="B43" s="58">
        <f t="shared" si="3"/>
        <v>-8.9628681177976885E-2</v>
      </c>
      <c r="C43" s="58">
        <f t="shared" si="3"/>
        <v>-0.15781049935979508</v>
      </c>
      <c r="D43" s="58">
        <f t="shared" si="3"/>
        <v>-6.9462227912932065E-2</v>
      </c>
      <c r="E43" s="58">
        <f t="shared" si="3"/>
        <v>7.3623559539052572E-2</v>
      </c>
      <c r="F43" s="58">
        <f t="shared" si="3"/>
        <v>0.17253521126760571</v>
      </c>
      <c r="G43" s="58">
        <f t="shared" si="3"/>
        <v>7.0742637644046175E-2</v>
      </c>
      <c r="H43" s="59">
        <f t="shared" si="4"/>
        <v>0.17253521126760571</v>
      </c>
    </row>
    <row r="44" spans="1:11" x14ac:dyDescent="0.3">
      <c r="A44" s="50" t="s">
        <v>107</v>
      </c>
      <c r="B44" s="58">
        <f t="shared" si="3"/>
        <v>-0.15356145084648626</v>
      </c>
      <c r="C44" s="58">
        <f t="shared" si="3"/>
        <v>-8.6367869337854258E-2</v>
      </c>
      <c r="D44" s="58">
        <f t="shared" si="3"/>
        <v>4.3577926884596142E-2</v>
      </c>
      <c r="E44" s="58">
        <f t="shared" si="3"/>
        <v>6.5641490962057403E-2</v>
      </c>
      <c r="F44" s="58">
        <f t="shared" si="3"/>
        <v>3.6271162157644685E-2</v>
      </c>
      <c r="G44" s="58">
        <f t="shared" si="3"/>
        <v>9.4438740180042557E-2</v>
      </c>
      <c r="H44" s="59">
        <f t="shared" si="4"/>
        <v>0.15356145084648626</v>
      </c>
    </row>
    <row r="45" spans="1:11" x14ac:dyDescent="0.3">
      <c r="A45" s="50" t="s">
        <v>108</v>
      </c>
      <c r="B45" s="58">
        <f t="shared" si="3"/>
        <v>-7.8260869565217397E-2</v>
      </c>
      <c r="C45" s="58">
        <f t="shared" si="3"/>
        <v>-0.25217391304347825</v>
      </c>
      <c r="D45" s="58">
        <f t="shared" si="3"/>
        <v>3.1884057971014491E-2</v>
      </c>
      <c r="E45" s="58">
        <f t="shared" si="3"/>
        <v>-7.8260869565217397E-2</v>
      </c>
      <c r="F45" s="58">
        <f t="shared" si="3"/>
        <v>0.18840579710144928</v>
      </c>
      <c r="G45" s="58">
        <f t="shared" si="3"/>
        <v>0.18840579710144928</v>
      </c>
      <c r="H45" s="59">
        <f t="shared" si="4"/>
        <v>0.25217391304347825</v>
      </c>
    </row>
    <row r="46" spans="1:11" x14ac:dyDescent="0.3">
      <c r="A46" s="50" t="s">
        <v>109</v>
      </c>
      <c r="B46" s="58">
        <f t="shared" si="3"/>
        <v>-7.4072644459026449E-2</v>
      </c>
      <c r="C46" s="58">
        <f t="shared" si="3"/>
        <v>-0.28251051839271235</v>
      </c>
      <c r="D46" s="58">
        <f t="shared" si="3"/>
        <v>2.111398463735677E-2</v>
      </c>
      <c r="E46" s="58">
        <f t="shared" si="3"/>
        <v>-5.9018798008260251E-2</v>
      </c>
      <c r="F46" s="58">
        <f t="shared" si="3"/>
        <v>0.13274404601073078</v>
      </c>
      <c r="G46" s="58">
        <f t="shared" si="3"/>
        <v>0.26174393021191195</v>
      </c>
      <c r="H46" s="59">
        <f t="shared" si="4"/>
        <v>0.28251051839271235</v>
      </c>
    </row>
    <row r="47" spans="1:11" x14ac:dyDescent="0.3">
      <c r="A47" s="50" t="s">
        <v>110</v>
      </c>
      <c r="B47" s="58">
        <f t="shared" si="3"/>
        <v>-0.1700306569084368</v>
      </c>
      <c r="C47" s="58">
        <f t="shared" si="3"/>
        <v>-0.3177154400949832</v>
      </c>
      <c r="D47" s="58">
        <f t="shared" si="3"/>
        <v>0.15447183285782645</v>
      </c>
      <c r="E47" s="58">
        <f t="shared" si="3"/>
        <v>5.6015310733462172E-2</v>
      </c>
      <c r="F47" s="58">
        <f t="shared" si="3"/>
        <v>-0.13728269922560291</v>
      </c>
      <c r="G47" s="58">
        <f t="shared" si="3"/>
        <v>0.41454165263773468</v>
      </c>
      <c r="H47" s="59">
        <f t="shared" si="4"/>
        <v>0.41454165263773468</v>
      </c>
    </row>
    <row r="48" spans="1:11" x14ac:dyDescent="0.3">
      <c r="A48" s="50" t="s">
        <v>111</v>
      </c>
      <c r="B48" s="58">
        <f t="shared" si="3"/>
        <v>-0.31143875687828393</v>
      </c>
      <c r="C48" s="58">
        <f t="shared" si="3"/>
        <v>-0.12288372439663636</v>
      </c>
      <c r="D48" s="58">
        <f t="shared" si="3"/>
        <v>5.620629262051742E-2</v>
      </c>
      <c r="E48" s="58">
        <f t="shared" si="3"/>
        <v>-5.7895586719167322E-2</v>
      </c>
      <c r="F48" s="58">
        <f t="shared" si="3"/>
        <v>0.19676549865229104</v>
      </c>
      <c r="G48" s="58">
        <f t="shared" si="3"/>
        <v>0.23924627672127885</v>
      </c>
      <c r="H48" s="59">
        <f t="shared" si="4"/>
        <v>0.31143875687828393</v>
      </c>
    </row>
    <row r="49" spans="1:8" x14ac:dyDescent="0.3">
      <c r="A49" s="50" t="s">
        <v>112</v>
      </c>
      <c r="B49" s="58">
        <f t="shared" si="3"/>
        <v>-0.1215092168660258</v>
      </c>
      <c r="C49" s="58">
        <f t="shared" si="3"/>
        <v>-0.11359877268259938</v>
      </c>
      <c r="D49" s="58">
        <f t="shared" si="3"/>
        <v>-7.5197161828511119E-2</v>
      </c>
      <c r="E49" s="58">
        <f t="shared" si="3"/>
        <v>-0.1193518229978186</v>
      </c>
      <c r="F49" s="58">
        <f t="shared" si="3"/>
        <v>0.16053407483759624</v>
      </c>
      <c r="G49" s="58">
        <f t="shared" si="3"/>
        <v>0.26912289953735891</v>
      </c>
      <c r="H49" s="59">
        <f t="shared" si="4"/>
        <v>0.26912289953735891</v>
      </c>
    </row>
    <row r="50" spans="1:8" x14ac:dyDescent="0.3">
      <c r="A50" s="50" t="s">
        <v>113</v>
      </c>
      <c r="B50" s="58">
        <f t="shared" si="3"/>
        <v>-2.4971187091817091E-2</v>
      </c>
      <c r="C50" s="58">
        <f t="shared" si="3"/>
        <v>0.49596619285439886</v>
      </c>
      <c r="D50" s="58">
        <f t="shared" si="3"/>
        <v>-0.46984248943526696</v>
      </c>
      <c r="E50" s="58">
        <f t="shared" si="3"/>
        <v>9.489051094890516E-2</v>
      </c>
      <c r="F50" s="58">
        <f t="shared" si="3"/>
        <v>-3.6496350364963459E-2</v>
      </c>
      <c r="G50" s="58">
        <f t="shared" si="3"/>
        <v>-5.9546676911256202E-2</v>
      </c>
      <c r="H50" s="59">
        <f t="shared" si="4"/>
        <v>0.49596619285439886</v>
      </c>
    </row>
    <row r="51" spans="1:8" x14ac:dyDescent="0.3">
      <c r="A51" s="50" t="s">
        <v>114</v>
      </c>
      <c r="B51" s="58">
        <f t="shared" si="3"/>
        <v>-5.0906271918490835E-2</v>
      </c>
      <c r="C51" s="58">
        <f t="shared" si="3"/>
        <v>0.3391413488870022</v>
      </c>
      <c r="D51" s="58">
        <f t="shared" si="3"/>
        <v>-0.47417771050980101</v>
      </c>
      <c r="E51" s="58">
        <f t="shared" si="3"/>
        <v>6.9031710288309581E-3</v>
      </c>
      <c r="F51" s="58">
        <f t="shared" si="3"/>
        <v>0.13492561556351293</v>
      </c>
      <c r="G51" s="58">
        <f t="shared" si="3"/>
        <v>4.4113846948946135E-2</v>
      </c>
      <c r="H51" s="59">
        <f t="shared" si="4"/>
        <v>0.47417771050980101</v>
      </c>
    </row>
    <row r="52" spans="1:8" x14ac:dyDescent="0.3">
      <c r="A52" s="50" t="s">
        <v>115</v>
      </c>
      <c r="B52" s="58">
        <f t="shared" si="3"/>
        <v>-5.0387877909084382E-2</v>
      </c>
      <c r="C52" s="58">
        <f t="shared" si="3"/>
        <v>0.41811063582976865</v>
      </c>
      <c r="D52" s="58">
        <f t="shared" si="3"/>
        <v>-0.43580076850576382</v>
      </c>
      <c r="E52" s="58">
        <f t="shared" si="3"/>
        <v>-4.2775320814906767E-3</v>
      </c>
      <c r="F52" s="58">
        <f t="shared" si="3"/>
        <v>5.3142898571739219E-2</v>
      </c>
      <c r="G52" s="58">
        <f t="shared" si="3"/>
        <v>1.9212644094830644E-2</v>
      </c>
      <c r="H52" s="59">
        <f t="shared" si="4"/>
        <v>0.43580076850576382</v>
      </c>
    </row>
    <row r="53" spans="1:8" x14ac:dyDescent="0.3">
      <c r="A53" s="50" t="s">
        <v>116</v>
      </c>
      <c r="B53" s="58">
        <f t="shared" si="3"/>
        <v>-0.10388460908047867</v>
      </c>
      <c r="C53" s="58">
        <f t="shared" si="3"/>
        <v>0.18613342075069653</v>
      </c>
      <c r="D53" s="58">
        <f t="shared" si="3"/>
        <v>-0.44268152761842322</v>
      </c>
      <c r="E53" s="58">
        <f t="shared" si="3"/>
        <v>1.9636125225372829E-2</v>
      </c>
      <c r="F53" s="58">
        <f t="shared" si="3"/>
        <v>0.18475659727913449</v>
      </c>
      <c r="G53" s="58">
        <f t="shared" si="3"/>
        <v>0.15603999344369768</v>
      </c>
      <c r="H53" s="59">
        <f t="shared" si="4"/>
        <v>0.44268152761842322</v>
      </c>
    </row>
    <row r="54" spans="1:8" x14ac:dyDescent="0.3">
      <c r="A54" s="50" t="s">
        <v>117</v>
      </c>
      <c r="B54" s="58">
        <f t="shared" ref="B54:G64" si="5">IF($I23=0,0,(C23-$I23)/$I23)</f>
        <v>-0.16895933014354067</v>
      </c>
      <c r="C54" s="58">
        <f t="shared" si="5"/>
        <v>0.34569377990430622</v>
      </c>
      <c r="D54" s="58">
        <f t="shared" si="5"/>
        <v>-0.48220693779904306</v>
      </c>
      <c r="E54" s="58">
        <f t="shared" si="5"/>
        <v>7.0574162679425831E-2</v>
      </c>
      <c r="F54" s="58">
        <f t="shared" si="5"/>
        <v>0.14294258373205743</v>
      </c>
      <c r="G54" s="58">
        <f t="shared" si="5"/>
        <v>9.1955741626794263E-2</v>
      </c>
      <c r="H54" s="59">
        <f t="shared" si="4"/>
        <v>0.48220693779904306</v>
      </c>
    </row>
    <row r="55" spans="1:8" x14ac:dyDescent="0.3">
      <c r="A55" s="50" t="s">
        <v>118</v>
      </c>
      <c r="B55" s="58">
        <f t="shared" si="5"/>
        <v>-0.40458015267175573</v>
      </c>
      <c r="C55" s="58">
        <f t="shared" si="5"/>
        <v>0.31330899435778287</v>
      </c>
      <c r="D55" s="58">
        <f t="shared" si="5"/>
        <v>-0.36674410886159975</v>
      </c>
      <c r="E55" s="58">
        <f t="shared" si="5"/>
        <v>0.15200796548290735</v>
      </c>
      <c r="F55" s="58">
        <f t="shared" si="5"/>
        <v>0.23664122137404575</v>
      </c>
      <c r="G55" s="58">
        <f t="shared" si="5"/>
        <v>6.936608031861928E-2</v>
      </c>
      <c r="H55" s="59">
        <f t="shared" si="4"/>
        <v>0.40458015267175573</v>
      </c>
    </row>
    <row r="56" spans="1:8" x14ac:dyDescent="0.3">
      <c r="A56" s="50" t="s">
        <v>119</v>
      </c>
      <c r="B56" s="58">
        <f t="shared" si="5"/>
        <v>-1</v>
      </c>
      <c r="C56" s="58">
        <f t="shared" si="5"/>
        <v>-0.8268382602402008</v>
      </c>
      <c r="D56" s="58">
        <f t="shared" si="5"/>
        <v>-0.90106982109334355</v>
      </c>
      <c r="E56" s="58">
        <f t="shared" si="5"/>
        <v>0.56361251215705799</v>
      </c>
      <c r="F56" s="58">
        <f t="shared" si="5"/>
        <v>1.2117476760228894</v>
      </c>
      <c r="G56" s="58">
        <f t="shared" si="5"/>
        <v>0.95254789315359745</v>
      </c>
      <c r="H56" s="59">
        <f t="shared" si="4"/>
        <v>1.2117476760228894</v>
      </c>
    </row>
    <row r="57" spans="1:8" x14ac:dyDescent="0.3">
      <c r="A57" s="50" t="s">
        <v>120</v>
      </c>
      <c r="B57" s="58">
        <f t="shared" si="5"/>
        <v>-0.21776797352852709</v>
      </c>
      <c r="C57" s="58">
        <f t="shared" si="5"/>
        <v>0.34234432969016332</v>
      </c>
      <c r="D57" s="58">
        <f t="shared" si="5"/>
        <v>-0.43387145292289186</v>
      </c>
      <c r="E57" s="58">
        <f t="shared" si="5"/>
        <v>0.16763260804171254</v>
      </c>
      <c r="F57" s="58">
        <f t="shared" si="5"/>
        <v>0.13743106387245554</v>
      </c>
      <c r="G57" s="58">
        <f t="shared" si="5"/>
        <v>4.2314248470870621E-3</v>
      </c>
      <c r="H57" s="59">
        <f t="shared" si="4"/>
        <v>0.43387145292289186</v>
      </c>
    </row>
    <row r="58" spans="1:8" x14ac:dyDescent="0.3">
      <c r="A58" s="50" t="s">
        <v>121</v>
      </c>
      <c r="B58" s="58">
        <f t="shared" si="5"/>
        <v>-0.19106679302814286</v>
      </c>
      <c r="C58" s="58">
        <f t="shared" si="5"/>
        <v>0.4982782267796072</v>
      </c>
      <c r="D58" s="58">
        <f t="shared" si="5"/>
        <v>-0.43940829865260206</v>
      </c>
      <c r="E58" s="58">
        <f t="shared" si="5"/>
        <v>0.1979833179305758</v>
      </c>
      <c r="F58" s="58">
        <f t="shared" si="5"/>
        <v>5.4820082056474206E-2</v>
      </c>
      <c r="G58" s="58">
        <f t="shared" si="5"/>
        <v>-0.12060653508591203</v>
      </c>
      <c r="H58" s="59">
        <f t="shared" si="4"/>
        <v>0.4982782267796072</v>
      </c>
    </row>
    <row r="59" spans="1:8" x14ac:dyDescent="0.3">
      <c r="A59" s="50" t="s">
        <v>122</v>
      </c>
      <c r="B59" s="58">
        <f t="shared" si="5"/>
        <v>1.2805169937769213E-2</v>
      </c>
      <c r="C59" s="58">
        <f t="shared" si="5"/>
        <v>0.25353039731929145</v>
      </c>
      <c r="D59" s="58">
        <f t="shared" si="5"/>
        <v>-0.39540449976065106</v>
      </c>
      <c r="E59" s="58">
        <f t="shared" si="5"/>
        <v>-7.6591670655816717E-3</v>
      </c>
      <c r="F59" s="58">
        <f t="shared" si="5"/>
        <v>9.1431306845380506E-2</v>
      </c>
      <c r="G59" s="58">
        <f t="shared" si="5"/>
        <v>4.5296792723791231E-2</v>
      </c>
      <c r="H59" s="59">
        <f t="shared" si="4"/>
        <v>0.39540449976065106</v>
      </c>
    </row>
    <row r="60" spans="1:8" x14ac:dyDescent="0.3">
      <c r="A60" s="50" t="s">
        <v>123</v>
      </c>
      <c r="B60" s="58">
        <f t="shared" si="5"/>
        <v>8.8521400778210052E-2</v>
      </c>
      <c r="C60" s="58">
        <f t="shared" si="5"/>
        <v>0.74148832684824895</v>
      </c>
      <c r="D60" s="58">
        <f t="shared" si="5"/>
        <v>-0.47251945525291833</v>
      </c>
      <c r="E60" s="58">
        <f t="shared" si="5"/>
        <v>-9.606031128404674E-2</v>
      </c>
      <c r="F60" s="58">
        <f t="shared" si="5"/>
        <v>-0.10919260700389111</v>
      </c>
      <c r="G60" s="58">
        <f t="shared" si="5"/>
        <v>-0.15223735408560315</v>
      </c>
      <c r="H60" s="59">
        <f t="shared" si="4"/>
        <v>0.74148832684824895</v>
      </c>
    </row>
    <row r="61" spans="1:8" x14ac:dyDescent="0.3">
      <c r="A61" s="50" t="s">
        <v>124</v>
      </c>
      <c r="B61" s="58">
        <f t="shared" si="5"/>
        <v>6.5762445858304611E-2</v>
      </c>
      <c r="C61" s="58">
        <f t="shared" si="5"/>
        <v>0.2211135302308764</v>
      </c>
      <c r="D61" s="58">
        <f t="shared" si="5"/>
        <v>-0.38801227852873066</v>
      </c>
      <c r="E61" s="58">
        <f t="shared" si="5"/>
        <v>-9.0465676280744353E-2</v>
      </c>
      <c r="F61" s="58">
        <f t="shared" si="5"/>
        <v>0.13285583499380696</v>
      </c>
      <c r="G61" s="58">
        <f t="shared" si="5"/>
        <v>5.8746143726487371E-2</v>
      </c>
      <c r="H61" s="59">
        <f t="shared" si="4"/>
        <v>0.38801227852873066</v>
      </c>
    </row>
    <row r="62" spans="1:8" x14ac:dyDescent="0.3">
      <c r="A62" s="50" t="s">
        <v>125</v>
      </c>
      <c r="B62" s="58">
        <f t="shared" si="5"/>
        <v>6.7024128686327081E-2</v>
      </c>
      <c r="C62" s="58">
        <f t="shared" si="5"/>
        <v>0.37332439678284185</v>
      </c>
      <c r="D62" s="58">
        <f t="shared" si="5"/>
        <v>-0.36394101876675605</v>
      </c>
      <c r="E62" s="58">
        <f t="shared" si="5"/>
        <v>6.099195710455764E-2</v>
      </c>
      <c r="F62" s="58">
        <f t="shared" si="5"/>
        <v>-9.3833780160857902E-3</v>
      </c>
      <c r="G62" s="58">
        <f t="shared" si="5"/>
        <v>-0.12801608579088472</v>
      </c>
      <c r="H62" s="59">
        <f t="shared" si="4"/>
        <v>0.37332439678284185</v>
      </c>
    </row>
    <row r="63" spans="1:8" x14ac:dyDescent="0.3">
      <c r="A63" s="50" t="s">
        <v>126</v>
      </c>
      <c r="B63" s="58">
        <f t="shared" si="5"/>
        <v>-9.7096072662146607E-2</v>
      </c>
      <c r="C63" s="58">
        <f t="shared" si="5"/>
        <v>-0.26615069719841372</v>
      </c>
      <c r="D63" s="58">
        <f t="shared" si="5"/>
        <v>-3.0574389151848534E-2</v>
      </c>
      <c r="E63" s="58">
        <f t="shared" si="5"/>
        <v>2.405014711526161E-2</v>
      </c>
      <c r="F63" s="58">
        <f t="shared" si="5"/>
        <v>0.23269796597160036</v>
      </c>
      <c r="G63" s="58">
        <f t="shared" si="5"/>
        <v>0.13707304592554689</v>
      </c>
      <c r="H63" s="59">
        <f t="shared" si="4"/>
        <v>0.26615069719841372</v>
      </c>
    </row>
    <row r="64" spans="1:8" x14ac:dyDescent="0.3">
      <c r="A64" s="50" t="s">
        <v>127</v>
      </c>
      <c r="B64" s="58">
        <f t="shared" si="5"/>
        <v>-0.18590691080208746</v>
      </c>
      <c r="C64" s="58">
        <f t="shared" si="5"/>
        <v>-9.3602002956170299E-2</v>
      </c>
      <c r="D64" s="58">
        <f t="shared" si="5"/>
        <v>6.6574160658803602E-2</v>
      </c>
      <c r="E64" s="58">
        <f t="shared" si="5"/>
        <v>0.13516937648939695</v>
      </c>
      <c r="F64" s="58">
        <f t="shared" si="5"/>
        <v>5.6257729781906976E-2</v>
      </c>
      <c r="G64" s="58">
        <f t="shared" si="5"/>
        <v>2.1507646828149925E-2</v>
      </c>
      <c r="H64" s="59">
        <f t="shared" si="4"/>
        <v>0.18590691080208746</v>
      </c>
    </row>
  </sheetData>
  <mergeCells count="6">
    <mergeCell ref="A36:H36"/>
    <mergeCell ref="A1:K1"/>
    <mergeCell ref="A2:K2"/>
    <mergeCell ref="C3:D3"/>
    <mergeCell ref="E3:H3"/>
    <mergeCell ref="A5:K5"/>
  </mergeCells>
  <conditionalFormatting sqref="B38:G64">
    <cfRule type="expression" dxfId="3" priority="3">
      <formula>B38&gt;0.05</formula>
    </cfRule>
    <cfRule type="expression" dxfId="2" priority="4">
      <formula>B38&lt;-0.05</formula>
    </cfRule>
  </conditionalFormatting>
  <conditionalFormatting sqref="C7:H33">
    <cfRule type="expression" dxfId="1" priority="1">
      <formula>AND($I7&gt;0,C7-$I7&gt;0.05*$I7)</formula>
    </cfRule>
    <cfRule type="expression" dxfId="0" priority="2">
      <formula>AND($I7&gt;0,$I7-C7&gt;0.05*$I7)</formula>
    </cfRule>
  </conditionalFormatting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5" sqref="B5"/>
    </sheetView>
  </sheetViews>
  <sheetFormatPr defaultColWidth="8.6640625" defaultRowHeight="14.4" x14ac:dyDescent="0.3"/>
  <cols>
    <col min="1" max="1" width="5" customWidth="1"/>
    <col min="2" max="2" width="30" customWidth="1"/>
    <col min="3" max="14" width="9.5546875" customWidth="1"/>
    <col min="15" max="15" width="11" customWidth="1"/>
  </cols>
  <sheetData>
    <row r="1" spans="1:15" ht="21" x14ac:dyDescent="0.4">
      <c r="A1" s="23" t="s">
        <v>129</v>
      </c>
    </row>
    <row r="2" spans="1:15" x14ac:dyDescent="0.3">
      <c r="A2" s="2"/>
    </row>
    <row r="4" spans="1:15" x14ac:dyDescent="0.3">
      <c r="A4" s="5" t="s">
        <v>130</v>
      </c>
      <c r="B4" s="5" t="s">
        <v>47</v>
      </c>
      <c r="C4" s="5" t="s">
        <v>17</v>
      </c>
      <c r="D4" s="5" t="s">
        <v>19</v>
      </c>
      <c r="E4" s="5" t="s">
        <v>21</v>
      </c>
      <c r="F4" s="5" t="s">
        <v>23</v>
      </c>
      <c r="G4" s="5" t="s">
        <v>25</v>
      </c>
      <c r="H4" s="5" t="s">
        <v>27</v>
      </c>
      <c r="I4" s="5" t="s">
        <v>29</v>
      </c>
      <c r="J4" s="5" t="s">
        <v>31</v>
      </c>
      <c r="K4" s="5" t="s">
        <v>33</v>
      </c>
      <c r="L4" s="5" t="s">
        <v>34</v>
      </c>
      <c r="M4" s="5" t="s">
        <v>35</v>
      </c>
      <c r="N4" s="5" t="s">
        <v>36</v>
      </c>
      <c r="O4" s="5" t="s">
        <v>13</v>
      </c>
    </row>
    <row r="5" spans="1:15" x14ac:dyDescent="0.3">
      <c r="A5" s="25">
        <v>1</v>
      </c>
      <c r="B5" s="61" t="s">
        <v>97</v>
      </c>
      <c r="C5" s="7">
        <f>SUMIFS('Source Data'!C$6:C$37,'Source Data'!$B$6:$B$37,$B5)</f>
        <v>5214</v>
      </c>
      <c r="D5" s="7">
        <f>SUMIFS('Source Data'!D$6:D$37,'Source Data'!$B$6:$B$37,$B5)</f>
        <v>6382</v>
      </c>
      <c r="E5" s="7">
        <f>SUMIFS('Source Data'!E$6:E$37,'Source Data'!$B$6:$B$37,$B5)</f>
        <v>7029</v>
      </c>
      <c r="F5" s="7">
        <f>SUMIFS('Source Data'!F$6:F$37,'Source Data'!$B$6:$B$37,$B5)</f>
        <v>7260</v>
      </c>
      <c r="G5" s="7">
        <f>SUMIFS('Source Data'!G$6:G$37,'Source Data'!$B$6:$B$37,$B5)</f>
        <v>7059</v>
      </c>
      <c r="H5" s="7">
        <f>SUMIFS('Source Data'!H$6:H$37,'Source Data'!$B$6:$B$37,$B5)</f>
        <v>7333</v>
      </c>
      <c r="I5" s="7">
        <f>SUMIFS('Source Data'!I$6:I$37,'Source Data'!$B$6:$B$37,$B5)</f>
        <v>0</v>
      </c>
      <c r="J5" s="7">
        <f>SUMIFS('Source Data'!J$6:J$37,'Source Data'!$B$6:$B$37,$B5)</f>
        <v>0</v>
      </c>
      <c r="K5" s="7">
        <f>SUMIFS('Source Data'!K$6:K$37,'Source Data'!$B$6:$B$37,$B5)</f>
        <v>0</v>
      </c>
      <c r="L5" s="7">
        <f>SUMIFS('Source Data'!L$6:L$37,'Source Data'!$B$6:$B$37,$B5)</f>
        <v>0</v>
      </c>
      <c r="M5" s="7">
        <f>SUMIFS('Source Data'!M$6:M$37,'Source Data'!$B$6:$B$37,$B5)</f>
        <v>0</v>
      </c>
      <c r="N5" s="7">
        <f>SUMIFS('Source Data'!N$6:N$37,'Source Data'!$B$6:$B$37,$B5)</f>
        <v>0</v>
      </c>
      <c r="O5" s="24">
        <f t="shared" ref="O5:O27" si="0">SUM(C5:N5)</f>
        <v>40277</v>
      </c>
    </row>
    <row r="6" spans="1:15" x14ac:dyDescent="0.3">
      <c r="A6" s="26">
        <v>2</v>
      </c>
      <c r="B6" s="10" t="s">
        <v>80</v>
      </c>
      <c r="C6" s="11">
        <f>SUMIFS('Source Data'!C$6:C$37,'Source Data'!$B$6:$B$37,$B6)</f>
        <v>24660</v>
      </c>
      <c r="D6" s="11">
        <f>SUMIFS('Source Data'!D$6:D$37,'Source Data'!$B$6:$B$37,$B6)</f>
        <v>16551</v>
      </c>
      <c r="E6" s="11">
        <f>SUMIFS('Source Data'!E$6:E$37,'Source Data'!$B$6:$B$37,$B6)</f>
        <v>25002</v>
      </c>
      <c r="F6" s="11">
        <f>SUMIFS('Source Data'!F$6:F$37,'Source Data'!$B$6:$B$37,$B6)</f>
        <v>16060</v>
      </c>
      <c r="G6" s="11">
        <f>SUMIFS('Source Data'!G$6:G$37,'Source Data'!$B$6:$B$37,$B6)</f>
        <v>21953</v>
      </c>
      <c r="H6" s="11">
        <f>SUMIFS('Source Data'!H$6:H$37,'Source Data'!$B$6:$B$37,$B6)</f>
        <v>19261</v>
      </c>
      <c r="I6" s="11">
        <f>SUMIFS('Source Data'!I$6:I$37,'Source Data'!$B$6:$B$37,$B6)</f>
        <v>0</v>
      </c>
      <c r="J6" s="11">
        <f>SUMIFS('Source Data'!J$6:J$37,'Source Data'!$B$6:$B$37,$B6)</f>
        <v>0</v>
      </c>
      <c r="K6" s="11">
        <f>SUMIFS('Source Data'!K$6:K$37,'Source Data'!$B$6:$B$37,$B6)</f>
        <v>0</v>
      </c>
      <c r="L6" s="11">
        <f>SUMIFS('Source Data'!L$6:L$37,'Source Data'!$B$6:$B$37,$B6)</f>
        <v>0</v>
      </c>
      <c r="M6" s="11">
        <f>SUMIFS('Source Data'!M$6:M$37,'Source Data'!$B$6:$B$37,$B6)</f>
        <v>0</v>
      </c>
      <c r="N6" s="11">
        <f>SUMIFS('Source Data'!N$6:N$37,'Source Data'!$B$6:$B$37,$B6)</f>
        <v>0</v>
      </c>
      <c r="O6" s="27">
        <f t="shared" si="0"/>
        <v>123487</v>
      </c>
    </row>
    <row r="7" spans="1:15" x14ac:dyDescent="0.3">
      <c r="A7" s="25">
        <v>3</v>
      </c>
      <c r="B7" s="6" t="s">
        <v>67</v>
      </c>
      <c r="C7" s="7">
        <f>SUMIFS('Source Data'!C$6:C$37,'Source Data'!$B$6:$B$37,$B7)</f>
        <v>0</v>
      </c>
      <c r="D7" s="7">
        <f>SUMIFS('Source Data'!D$6:D$37,'Source Data'!$B$6:$B$37,$B7)</f>
        <v>81</v>
      </c>
      <c r="E7" s="7">
        <f>SUMIFS('Source Data'!E$6:E$37,'Source Data'!$B$6:$B$37,$B7)</f>
        <v>0</v>
      </c>
      <c r="F7" s="7">
        <f>SUMIFS('Source Data'!F$6:F$37,'Source Data'!$B$6:$B$37,$B7)</f>
        <v>0</v>
      </c>
      <c r="G7" s="7">
        <f>SUMIFS('Source Data'!G$6:G$37,'Source Data'!$B$6:$B$37,$B7)</f>
        <v>355</v>
      </c>
      <c r="H7" s="7">
        <f>SUMIFS('Source Data'!H$6:H$37,'Source Data'!$B$6:$B$37,$B7)</f>
        <v>552</v>
      </c>
      <c r="I7" s="7">
        <f>SUMIFS('Source Data'!I$6:I$37,'Source Data'!$B$6:$B$37,$B7)</f>
        <v>0</v>
      </c>
      <c r="J7" s="7">
        <f>SUMIFS('Source Data'!J$6:J$37,'Source Data'!$B$6:$B$37,$B7)</f>
        <v>0</v>
      </c>
      <c r="K7" s="7">
        <f>SUMIFS('Source Data'!K$6:K$37,'Source Data'!$B$6:$B$37,$B7)</f>
        <v>0</v>
      </c>
      <c r="L7" s="7">
        <f>SUMIFS('Source Data'!L$6:L$37,'Source Data'!$B$6:$B$37,$B7)</f>
        <v>0</v>
      </c>
      <c r="M7" s="7">
        <f>SUMIFS('Source Data'!M$6:M$37,'Source Data'!$B$6:$B$37,$B7)</f>
        <v>0</v>
      </c>
      <c r="N7" s="7">
        <f>SUMIFS('Source Data'!N$6:N$37,'Source Data'!$B$6:$B$37,$B7)</f>
        <v>0</v>
      </c>
      <c r="O7" s="24">
        <f t="shared" si="0"/>
        <v>988</v>
      </c>
    </row>
    <row r="8" spans="1:15" x14ac:dyDescent="0.3">
      <c r="A8" s="26">
        <v>4</v>
      </c>
      <c r="B8" s="10" t="s">
        <v>65</v>
      </c>
      <c r="C8" s="11">
        <f>SUMIFS('Source Data'!C$6:C$37,'Source Data'!$B$6:$B$37,$B8)</f>
        <v>2817</v>
      </c>
      <c r="D8" s="11">
        <f>SUMIFS('Source Data'!D$6:D$37,'Source Data'!$B$6:$B$37,$B8)</f>
        <v>2874</v>
      </c>
      <c r="E8" s="11">
        <f>SUMIFS('Source Data'!E$6:E$37,'Source Data'!$B$6:$B$37,$B8)</f>
        <v>2847</v>
      </c>
      <c r="F8" s="11">
        <f>SUMIFS('Source Data'!F$6:F$37,'Source Data'!$B$6:$B$37,$B8)</f>
        <v>2668</v>
      </c>
      <c r="G8" s="11">
        <f>SUMIFS('Source Data'!G$6:G$37,'Source Data'!$B$6:$B$37,$B8)</f>
        <v>3871</v>
      </c>
      <c r="H8" s="11">
        <f>SUMIFS('Source Data'!H$6:H$37,'Source Data'!$B$6:$B$37,$B8)</f>
        <v>3463</v>
      </c>
      <c r="I8" s="11">
        <f>SUMIFS('Source Data'!I$6:I$37,'Source Data'!$B$6:$B$37,$B8)</f>
        <v>0</v>
      </c>
      <c r="J8" s="11">
        <f>SUMIFS('Source Data'!J$6:J$37,'Source Data'!$B$6:$B$37,$B8)</f>
        <v>0</v>
      </c>
      <c r="K8" s="11">
        <f>SUMIFS('Source Data'!K$6:K$37,'Source Data'!$B$6:$B$37,$B8)</f>
        <v>0</v>
      </c>
      <c r="L8" s="11">
        <f>SUMIFS('Source Data'!L$6:L$37,'Source Data'!$B$6:$B$37,$B8)</f>
        <v>0</v>
      </c>
      <c r="M8" s="11">
        <f>SUMIFS('Source Data'!M$6:M$37,'Source Data'!$B$6:$B$37,$B8)</f>
        <v>0</v>
      </c>
      <c r="N8" s="11">
        <f>SUMIFS('Source Data'!N$6:N$37,'Source Data'!$B$6:$B$37,$B8)</f>
        <v>0</v>
      </c>
      <c r="O8" s="27">
        <f t="shared" si="0"/>
        <v>18540</v>
      </c>
    </row>
    <row r="9" spans="1:15" x14ac:dyDescent="0.3">
      <c r="A9" s="25">
        <v>5</v>
      </c>
      <c r="B9" s="6" t="s">
        <v>69</v>
      </c>
      <c r="C9" s="7">
        <f>SUMIFS('Source Data'!C$6:C$37,'Source Data'!$B$6:$B$37,$B9)</f>
        <v>1555</v>
      </c>
      <c r="D9" s="7">
        <f>SUMIFS('Source Data'!D$6:D$37,'Source Data'!$B$6:$B$37,$B9)</f>
        <v>2099</v>
      </c>
      <c r="E9" s="7">
        <f>SUMIFS('Source Data'!E$6:E$37,'Source Data'!$B$6:$B$37,$B9)</f>
        <v>831</v>
      </c>
      <c r="F9" s="7">
        <f>SUMIFS('Source Data'!F$6:F$37,'Source Data'!$B$6:$B$37,$B9)</f>
        <v>1788</v>
      </c>
      <c r="G9" s="7">
        <f>SUMIFS('Source Data'!G$6:G$37,'Source Data'!$B$6:$B$37,$B9)</f>
        <v>1950</v>
      </c>
      <c r="H9" s="7">
        <f>SUMIFS('Source Data'!H$6:H$37,'Source Data'!$B$6:$B$37,$B9)</f>
        <v>1830</v>
      </c>
      <c r="I9" s="7">
        <f>SUMIFS('Source Data'!I$6:I$37,'Source Data'!$B$6:$B$37,$B9)</f>
        <v>0</v>
      </c>
      <c r="J9" s="7">
        <f>SUMIFS('Source Data'!J$6:J$37,'Source Data'!$B$6:$B$37,$B9)</f>
        <v>0</v>
      </c>
      <c r="K9" s="7">
        <f>SUMIFS('Source Data'!K$6:K$37,'Source Data'!$B$6:$B$37,$B9)</f>
        <v>0</v>
      </c>
      <c r="L9" s="7">
        <f>SUMIFS('Source Data'!L$6:L$37,'Source Data'!$B$6:$B$37,$B9)</f>
        <v>0</v>
      </c>
      <c r="M9" s="7">
        <f>SUMIFS('Source Data'!M$6:M$37,'Source Data'!$B$6:$B$37,$B9)</f>
        <v>0</v>
      </c>
      <c r="N9" s="7">
        <f>SUMIFS('Source Data'!N$6:N$37,'Source Data'!$B$6:$B$37,$B9)</f>
        <v>0</v>
      </c>
      <c r="O9" s="24">
        <f t="shared" si="0"/>
        <v>10053</v>
      </c>
    </row>
    <row r="10" spans="1:15" x14ac:dyDescent="0.3">
      <c r="A10" s="26">
        <v>6</v>
      </c>
      <c r="B10" s="10" t="s">
        <v>131</v>
      </c>
      <c r="C10" s="11">
        <f>SUMIFS('Source Data'!C$6:C$37,'Source Data'!$B$6:$B$37,$B10)</f>
        <v>0</v>
      </c>
      <c r="D10" s="11">
        <f>SUMIFS('Source Data'!D$6:D$37,'Source Data'!$B$6:$B$37,$B10)</f>
        <v>0</v>
      </c>
      <c r="E10" s="11">
        <f>SUMIFS('Source Data'!E$6:E$37,'Source Data'!$B$6:$B$37,$B10)</f>
        <v>0</v>
      </c>
      <c r="F10" s="11">
        <f>SUMIFS('Source Data'!F$6:F$37,'Source Data'!$B$6:$B$37,$B10)</f>
        <v>0</v>
      </c>
      <c r="G10" s="11">
        <f>SUMIFS('Source Data'!G$6:G$37,'Source Data'!$B$6:$B$37,$B10)</f>
        <v>0</v>
      </c>
      <c r="H10" s="11">
        <f>SUMIFS('Source Data'!H$6:H$37,'Source Data'!$B$6:$B$37,$B10)</f>
        <v>0</v>
      </c>
      <c r="I10" s="11">
        <f>SUMIFS('Source Data'!I$6:I$37,'Source Data'!$B$6:$B$37,$B10)</f>
        <v>0</v>
      </c>
      <c r="J10" s="11">
        <f>SUMIFS('Source Data'!J$6:J$37,'Source Data'!$B$6:$B$37,$B10)</f>
        <v>0</v>
      </c>
      <c r="K10" s="11">
        <f>SUMIFS('Source Data'!K$6:K$37,'Source Data'!$B$6:$B$37,$B10)</f>
        <v>0</v>
      </c>
      <c r="L10" s="11">
        <f>SUMIFS('Source Data'!L$6:L$37,'Source Data'!$B$6:$B$37,$B10)</f>
        <v>0</v>
      </c>
      <c r="M10" s="11">
        <f>SUMIFS('Source Data'!M$6:M$37,'Source Data'!$B$6:$B$37,$B10)</f>
        <v>0</v>
      </c>
      <c r="N10" s="11">
        <f>SUMIFS('Source Data'!N$6:N$37,'Source Data'!$B$6:$B$37,$B10)</f>
        <v>0</v>
      </c>
      <c r="O10" s="27">
        <f t="shared" si="0"/>
        <v>0</v>
      </c>
    </row>
    <row r="11" spans="1:15" x14ac:dyDescent="0.3">
      <c r="A11" s="25">
        <v>7</v>
      </c>
      <c r="B11" s="6" t="s">
        <v>82</v>
      </c>
      <c r="C11" s="7">
        <f>SUMIFS('Source Data'!C$6:C$37,'Source Data'!$B$6:$B$37,$B11)</f>
        <v>6525</v>
      </c>
      <c r="D11" s="7">
        <f>SUMIFS('Source Data'!D$6:D$37,'Source Data'!$B$6:$B$37,$B11)</f>
        <v>7712</v>
      </c>
      <c r="E11" s="7">
        <f>SUMIFS('Source Data'!E$6:E$37,'Source Data'!$B$6:$B$37,$B11)</f>
        <v>6335</v>
      </c>
      <c r="F11" s="7">
        <f>SUMIFS('Source Data'!F$6:F$37,'Source Data'!$B$6:$B$37,$B11)</f>
        <v>12478</v>
      </c>
      <c r="G11" s="7">
        <f>SUMIFS('Source Data'!G$6:G$37,'Source Data'!$B$6:$B$37,$B11)</f>
        <v>12445</v>
      </c>
      <c r="H11" s="7">
        <f>SUMIFS('Source Data'!H$6:H$37,'Source Data'!$B$6:$B$37,$B11)</f>
        <v>14609</v>
      </c>
      <c r="I11" s="7">
        <f>SUMIFS('Source Data'!I$6:I$37,'Source Data'!$B$6:$B$37,$B11)</f>
        <v>0</v>
      </c>
      <c r="J11" s="7">
        <f>SUMIFS('Source Data'!J$6:J$37,'Source Data'!$B$6:$B$37,$B11)</f>
        <v>0</v>
      </c>
      <c r="K11" s="7">
        <f>SUMIFS('Source Data'!K$6:K$37,'Source Data'!$B$6:$B$37,$B11)</f>
        <v>0</v>
      </c>
      <c r="L11" s="7">
        <f>SUMIFS('Source Data'!L$6:L$37,'Source Data'!$B$6:$B$37,$B11)</f>
        <v>0</v>
      </c>
      <c r="M11" s="7">
        <f>SUMIFS('Source Data'!M$6:M$37,'Source Data'!$B$6:$B$37,$B11)</f>
        <v>0</v>
      </c>
      <c r="N11" s="7">
        <f>SUMIFS('Source Data'!N$6:N$37,'Source Data'!$B$6:$B$37,$B11)</f>
        <v>0</v>
      </c>
      <c r="O11" s="24">
        <f t="shared" si="0"/>
        <v>60104</v>
      </c>
    </row>
    <row r="12" spans="1:15" x14ac:dyDescent="0.3">
      <c r="A12" s="26">
        <v>8</v>
      </c>
      <c r="B12" s="10" t="s">
        <v>54</v>
      </c>
      <c r="C12" s="11">
        <f>SUMIFS('Source Data'!C$6:C$37,'Source Data'!$B$6:$B$37,$B12)</f>
        <v>49882</v>
      </c>
      <c r="D12" s="11">
        <f>SUMIFS('Source Data'!D$6:D$37,'Source Data'!$B$6:$B$37,$B12)</f>
        <v>41098</v>
      </c>
      <c r="E12" s="11">
        <f>SUMIFS('Source Data'!E$6:E$37,'Source Data'!$B$6:$B$37,$B12)</f>
        <v>51830</v>
      </c>
      <c r="F12" s="11">
        <f>SUMIFS('Source Data'!F$6:F$37,'Source Data'!$B$6:$B$37,$B12)</f>
        <v>42453</v>
      </c>
      <c r="G12" s="11">
        <f>SUMIFS('Source Data'!G$6:G$37,'Source Data'!$B$6:$B$37,$B12)</f>
        <v>55812</v>
      </c>
      <c r="H12" s="11">
        <f>SUMIFS('Source Data'!H$6:H$37,'Source Data'!$B$6:$B$37,$B12)</f>
        <v>48939</v>
      </c>
      <c r="I12" s="11">
        <f>SUMIFS('Source Data'!I$6:I$37,'Source Data'!$B$6:$B$37,$B12)</f>
        <v>0</v>
      </c>
      <c r="J12" s="11">
        <f>SUMIFS('Source Data'!J$6:J$37,'Source Data'!$B$6:$B$37,$B12)</f>
        <v>0</v>
      </c>
      <c r="K12" s="11">
        <f>SUMIFS('Source Data'!K$6:K$37,'Source Data'!$B$6:$B$37,$B12)</f>
        <v>0</v>
      </c>
      <c r="L12" s="11">
        <f>SUMIFS('Source Data'!L$6:L$37,'Source Data'!$B$6:$B$37,$B12)</f>
        <v>0</v>
      </c>
      <c r="M12" s="11">
        <f>SUMIFS('Source Data'!M$6:M$37,'Source Data'!$B$6:$B$37,$B12)</f>
        <v>0</v>
      </c>
      <c r="N12" s="11">
        <f>SUMIFS('Source Data'!N$6:N$37,'Source Data'!$B$6:$B$37,$B12)</f>
        <v>0</v>
      </c>
      <c r="O12" s="27">
        <f t="shared" si="0"/>
        <v>290014</v>
      </c>
    </row>
    <row r="13" spans="1:15" x14ac:dyDescent="0.3">
      <c r="A13" s="25">
        <v>9</v>
      </c>
      <c r="B13" s="6" t="s">
        <v>88</v>
      </c>
      <c r="C13" s="7">
        <f>SUMIFS('Source Data'!C$6:C$37,'Source Data'!$B$6:$B$37,$B13)</f>
        <v>37542</v>
      </c>
      <c r="D13" s="7">
        <f>SUMIFS('Source Data'!D$6:D$37,'Source Data'!$B$6:$B$37,$B13)</f>
        <v>28960</v>
      </c>
      <c r="E13" s="7">
        <f>SUMIFS('Source Data'!E$6:E$37,'Source Data'!$B$6:$B$37,$B13)</f>
        <v>35629</v>
      </c>
      <c r="F13" s="7">
        <f>SUMIFS('Source Data'!F$6:F$37,'Source Data'!$B$6:$B$37,$B13)</f>
        <v>29615</v>
      </c>
      <c r="G13" s="7">
        <f>SUMIFS('Source Data'!G$6:G$37,'Source Data'!$B$6:$B$37,$B13)</f>
        <v>37152</v>
      </c>
      <c r="H13" s="7">
        <f>SUMIFS('Source Data'!H$6:H$37,'Source Data'!$B$6:$B$37,$B13)</f>
        <v>32682</v>
      </c>
      <c r="I13" s="7">
        <f>SUMIFS('Source Data'!I$6:I$37,'Source Data'!$B$6:$B$37,$B13)</f>
        <v>0</v>
      </c>
      <c r="J13" s="7">
        <f>SUMIFS('Source Data'!J$6:J$37,'Source Data'!$B$6:$B$37,$B13)</f>
        <v>0</v>
      </c>
      <c r="K13" s="7">
        <f>SUMIFS('Source Data'!K$6:K$37,'Source Data'!$B$6:$B$37,$B13)</f>
        <v>0</v>
      </c>
      <c r="L13" s="7">
        <f>SUMIFS('Source Data'!L$6:L$37,'Source Data'!$B$6:$B$37,$B13)</f>
        <v>0</v>
      </c>
      <c r="M13" s="7">
        <f>SUMIFS('Source Data'!M$6:M$37,'Source Data'!$B$6:$B$37,$B13)</f>
        <v>0</v>
      </c>
      <c r="N13" s="7">
        <f>SUMIFS('Source Data'!N$6:N$37,'Source Data'!$B$6:$B$37,$B13)</f>
        <v>0</v>
      </c>
      <c r="O13" s="24">
        <f t="shared" si="0"/>
        <v>201580</v>
      </c>
    </row>
    <row r="14" spans="1:15" x14ac:dyDescent="0.3">
      <c r="A14" s="26">
        <v>10</v>
      </c>
      <c r="B14" s="10" t="s">
        <v>132</v>
      </c>
      <c r="C14" s="11">
        <f>SUMIFS('Source Data'!C$6:C$37,'Source Data'!$B$6:$B$37,$B14)</f>
        <v>0</v>
      </c>
      <c r="D14" s="11">
        <f>SUMIFS('Source Data'!D$6:D$37,'Source Data'!$B$6:$B$37,$B14)</f>
        <v>0</v>
      </c>
      <c r="E14" s="11">
        <f>SUMIFS('Source Data'!E$6:E$37,'Source Data'!$B$6:$B$37,$B14)</f>
        <v>0</v>
      </c>
      <c r="F14" s="11">
        <f>SUMIFS('Source Data'!F$6:F$37,'Source Data'!$B$6:$B$37,$B14)</f>
        <v>0</v>
      </c>
      <c r="G14" s="11">
        <f>SUMIFS('Source Data'!G$6:G$37,'Source Data'!$B$6:$B$37,$B14)</f>
        <v>0</v>
      </c>
      <c r="H14" s="11">
        <f>SUMIFS('Source Data'!H$6:H$37,'Source Data'!$B$6:$B$37,$B14)</f>
        <v>0</v>
      </c>
      <c r="I14" s="11">
        <f>SUMIFS('Source Data'!I$6:I$37,'Source Data'!$B$6:$B$37,$B14)</f>
        <v>0</v>
      </c>
      <c r="J14" s="11">
        <f>SUMIFS('Source Data'!J$6:J$37,'Source Data'!$B$6:$B$37,$B14)</f>
        <v>0</v>
      </c>
      <c r="K14" s="11">
        <f>SUMIFS('Source Data'!K$6:K$37,'Source Data'!$B$6:$B$37,$B14)</f>
        <v>0</v>
      </c>
      <c r="L14" s="11">
        <f>SUMIFS('Source Data'!L$6:L$37,'Source Data'!$B$6:$B$37,$B14)</f>
        <v>0</v>
      </c>
      <c r="M14" s="11">
        <f>SUMIFS('Source Data'!M$6:M$37,'Source Data'!$B$6:$B$37,$B14)</f>
        <v>0</v>
      </c>
      <c r="N14" s="11">
        <f>SUMIFS('Source Data'!N$6:N$37,'Source Data'!$B$6:$B$37,$B14)</f>
        <v>0</v>
      </c>
      <c r="O14" s="27">
        <f t="shared" si="0"/>
        <v>0</v>
      </c>
    </row>
    <row r="15" spans="1:15" x14ac:dyDescent="0.3">
      <c r="A15" s="25">
        <v>11</v>
      </c>
      <c r="B15" s="6" t="s">
        <v>86</v>
      </c>
      <c r="C15" s="7">
        <f>SUMIFS('Source Data'!C$6:C$37,'Source Data'!$B$6:$B$37,$B15)</f>
        <v>43743</v>
      </c>
      <c r="D15" s="7">
        <f>SUMIFS('Source Data'!D$6:D$37,'Source Data'!$B$6:$B$37,$B15)</f>
        <v>28737</v>
      </c>
      <c r="E15" s="7">
        <f>SUMIFS('Source Data'!E$6:E$37,'Source Data'!$B$6:$B$37,$B15)</f>
        <v>42298</v>
      </c>
      <c r="F15" s="7">
        <f>SUMIFS('Source Data'!F$6:F$37,'Source Data'!$B$6:$B$37,$B15)</f>
        <v>26636</v>
      </c>
      <c r="G15" s="7">
        <f>SUMIFS('Source Data'!G$6:G$37,'Source Data'!$B$6:$B$37,$B15)</f>
        <v>34334</v>
      </c>
      <c r="H15" s="7">
        <f>SUMIFS('Source Data'!H$6:H$37,'Source Data'!$B$6:$B$37,$B15)</f>
        <v>31993</v>
      </c>
      <c r="I15" s="7">
        <f>SUMIFS('Source Data'!I$6:I$37,'Source Data'!$B$6:$B$37,$B15)</f>
        <v>0</v>
      </c>
      <c r="J15" s="7">
        <f>SUMIFS('Source Data'!J$6:J$37,'Source Data'!$B$6:$B$37,$B15)</f>
        <v>0</v>
      </c>
      <c r="K15" s="7">
        <f>SUMIFS('Source Data'!K$6:K$37,'Source Data'!$B$6:$B$37,$B15)</f>
        <v>0</v>
      </c>
      <c r="L15" s="7">
        <f>SUMIFS('Source Data'!L$6:L$37,'Source Data'!$B$6:$B$37,$B15)</f>
        <v>0</v>
      </c>
      <c r="M15" s="7">
        <f>SUMIFS('Source Data'!M$6:M$37,'Source Data'!$B$6:$B$37,$B15)</f>
        <v>0</v>
      </c>
      <c r="N15" s="7">
        <f>SUMIFS('Source Data'!N$6:N$37,'Source Data'!$B$6:$B$37,$B15)</f>
        <v>0</v>
      </c>
      <c r="O15" s="24">
        <f t="shared" si="0"/>
        <v>207741</v>
      </c>
    </row>
    <row r="16" spans="1:15" x14ac:dyDescent="0.3">
      <c r="A16" s="26">
        <v>12</v>
      </c>
      <c r="B16" s="10" t="s">
        <v>92</v>
      </c>
      <c r="C16" s="11">
        <f>SUMIFS('Source Data'!C$6:C$37,'Source Data'!$B$6:$B$37,$B16)</f>
        <v>30614</v>
      </c>
      <c r="D16" s="11">
        <f>SUMIFS('Source Data'!D$6:D$37,'Source Data'!$B$6:$B$37,$B16)</f>
        <v>17713</v>
      </c>
      <c r="E16" s="11">
        <f>SUMIFS('Source Data'!E$6:E$37,'Source Data'!$B$6:$B$37,$B16)</f>
        <v>25316</v>
      </c>
      <c r="F16" s="11">
        <f>SUMIFS('Source Data'!F$6:F$37,'Source Data'!$B$6:$B$37,$B16)</f>
        <v>15083</v>
      </c>
      <c r="G16" s="11">
        <f>SUMIFS('Source Data'!G$6:G$37,'Source Data'!$B$6:$B$37,$B16)</f>
        <v>21486</v>
      </c>
      <c r="H16" s="11">
        <f>SUMIFS('Source Data'!H$6:H$37,'Source Data'!$B$6:$B$37,$B16)</f>
        <v>20653</v>
      </c>
      <c r="I16" s="11">
        <f>SUMIFS('Source Data'!I$6:I$37,'Source Data'!$B$6:$B$37,$B16)</f>
        <v>0</v>
      </c>
      <c r="J16" s="11">
        <f>SUMIFS('Source Data'!J$6:J$37,'Source Data'!$B$6:$B$37,$B16)</f>
        <v>0</v>
      </c>
      <c r="K16" s="11">
        <f>SUMIFS('Source Data'!K$6:K$37,'Source Data'!$B$6:$B$37,$B16)</f>
        <v>0</v>
      </c>
      <c r="L16" s="11">
        <f>SUMIFS('Source Data'!L$6:L$37,'Source Data'!$B$6:$B$37,$B16)</f>
        <v>0</v>
      </c>
      <c r="M16" s="11">
        <f>SUMIFS('Source Data'!M$6:M$37,'Source Data'!$B$6:$B$37,$B16)</f>
        <v>0</v>
      </c>
      <c r="N16" s="11">
        <f>SUMIFS('Source Data'!N$6:N$37,'Source Data'!$B$6:$B$37,$B16)</f>
        <v>0</v>
      </c>
      <c r="O16" s="27">
        <f t="shared" si="0"/>
        <v>130865</v>
      </c>
    </row>
    <row r="17" spans="1:15" x14ac:dyDescent="0.3">
      <c r="A17" s="25">
        <v>13</v>
      </c>
      <c r="B17" s="6" t="s">
        <v>133</v>
      </c>
      <c r="C17" s="7">
        <f>SUMIFS('Source Data'!C$6:C$37,'Source Data'!$B$6:$B$37,$B17)</f>
        <v>0</v>
      </c>
      <c r="D17" s="7">
        <f>SUMIFS('Source Data'!D$6:D$37,'Source Data'!$B$6:$B$37,$B17)</f>
        <v>0</v>
      </c>
      <c r="E17" s="7">
        <f>SUMIFS('Source Data'!E$6:E$37,'Source Data'!$B$6:$B$37,$B17)</f>
        <v>0</v>
      </c>
      <c r="F17" s="7">
        <f>SUMIFS('Source Data'!F$6:F$37,'Source Data'!$B$6:$B$37,$B17)</f>
        <v>0</v>
      </c>
      <c r="G17" s="7">
        <f>SUMIFS('Source Data'!G$6:G$37,'Source Data'!$B$6:$B$37,$B17)</f>
        <v>0</v>
      </c>
      <c r="H17" s="7">
        <f>SUMIFS('Source Data'!H$6:H$37,'Source Data'!$B$6:$B$37,$B17)</f>
        <v>0</v>
      </c>
      <c r="I17" s="7">
        <f>SUMIFS('Source Data'!I$6:I$37,'Source Data'!$B$6:$B$37,$B17)</f>
        <v>0</v>
      </c>
      <c r="J17" s="7">
        <f>SUMIFS('Source Data'!J$6:J$37,'Source Data'!$B$6:$B$37,$B17)</f>
        <v>0</v>
      </c>
      <c r="K17" s="7">
        <f>SUMIFS('Source Data'!K$6:K$37,'Source Data'!$B$6:$B$37,$B17)</f>
        <v>0</v>
      </c>
      <c r="L17" s="7">
        <f>SUMIFS('Source Data'!L$6:L$37,'Source Data'!$B$6:$B$37,$B17)</f>
        <v>0</v>
      </c>
      <c r="M17" s="7">
        <f>SUMIFS('Source Data'!M$6:M$37,'Source Data'!$B$6:$B$37,$B17)</f>
        <v>0</v>
      </c>
      <c r="N17" s="7">
        <f>SUMIFS('Source Data'!N$6:N$37,'Source Data'!$B$6:$B$37,$B17)</f>
        <v>0</v>
      </c>
      <c r="O17" s="24">
        <f t="shared" si="0"/>
        <v>0</v>
      </c>
    </row>
    <row r="18" spans="1:15" x14ac:dyDescent="0.3">
      <c r="A18" s="26">
        <v>14</v>
      </c>
      <c r="B18" s="10" t="s">
        <v>49</v>
      </c>
      <c r="C18" s="11">
        <f>SUMIFS('Source Data'!C$6:C$37,'Source Data'!$B$6:$B$37,$B18)</f>
        <v>18151</v>
      </c>
      <c r="D18" s="11">
        <f>SUMIFS('Source Data'!D$6:D$37,'Source Data'!$B$6:$B$37,$B18)</f>
        <v>14540</v>
      </c>
      <c r="E18" s="11">
        <f>SUMIFS('Source Data'!E$6:E$37,'Source Data'!$B$6:$B$37,$B18)</f>
        <v>21593</v>
      </c>
      <c r="F18" s="11">
        <f>SUMIFS('Source Data'!F$6:F$37,'Source Data'!$B$6:$B$37,$B18)</f>
        <v>20057</v>
      </c>
      <c r="G18" s="11">
        <f>SUMIFS('Source Data'!G$6:G$37,'Source Data'!$B$6:$B$37,$B18)</f>
        <v>24996</v>
      </c>
      <c r="H18" s="11">
        <f>SUMIFS('Source Data'!H$6:H$37,'Source Data'!$B$6:$B$37,$B18)</f>
        <v>25593</v>
      </c>
      <c r="I18" s="11">
        <f>SUMIFS('Source Data'!I$6:I$37,'Source Data'!$B$6:$B$37,$B18)</f>
        <v>0</v>
      </c>
      <c r="J18" s="11">
        <f>SUMIFS('Source Data'!J$6:J$37,'Source Data'!$B$6:$B$37,$B18)</f>
        <v>0</v>
      </c>
      <c r="K18" s="11">
        <f>SUMIFS('Source Data'!K$6:K$37,'Source Data'!$B$6:$B$37,$B18)</f>
        <v>0</v>
      </c>
      <c r="L18" s="11">
        <f>SUMIFS('Source Data'!L$6:L$37,'Source Data'!$B$6:$B$37,$B18)</f>
        <v>0</v>
      </c>
      <c r="M18" s="11">
        <f>SUMIFS('Source Data'!M$6:M$37,'Source Data'!$B$6:$B$37,$B18)</f>
        <v>0</v>
      </c>
      <c r="N18" s="11">
        <f>SUMIFS('Source Data'!N$6:N$37,'Source Data'!$B$6:$B$37,$B18)</f>
        <v>0</v>
      </c>
      <c r="O18" s="27">
        <f t="shared" si="0"/>
        <v>124930</v>
      </c>
    </row>
    <row r="19" spans="1:15" x14ac:dyDescent="0.3">
      <c r="A19" s="25">
        <v>15</v>
      </c>
      <c r="B19" s="6" t="s">
        <v>95</v>
      </c>
      <c r="C19" s="7">
        <f>SUMIFS('Source Data'!C$6:C$37,'Source Data'!$B$6:$B$37,$B19)</f>
        <v>8083</v>
      </c>
      <c r="D19" s="7">
        <f>SUMIFS('Source Data'!D$6:D$37,'Source Data'!$B$6:$B$37,$B19)</f>
        <v>6730</v>
      </c>
      <c r="E19" s="7">
        <f>SUMIFS('Source Data'!E$6:E$37,'Source Data'!$B$6:$B$37,$B19)</f>
        <v>8271</v>
      </c>
      <c r="F19" s="7">
        <f>SUMIFS('Source Data'!F$6:F$37,'Source Data'!$B$6:$B$37,$B19)</f>
        <v>6305</v>
      </c>
      <c r="G19" s="7">
        <f>SUMIFS('Source Data'!G$6:G$37,'Source Data'!$B$6:$B$37,$B19)</f>
        <v>7566</v>
      </c>
      <c r="H19" s="7">
        <f>SUMIFS('Source Data'!H$6:H$37,'Source Data'!$B$6:$B$37,$B19)</f>
        <v>6156</v>
      </c>
      <c r="I19" s="7">
        <f>SUMIFS('Source Data'!I$6:I$37,'Source Data'!$B$6:$B$37,$B19)</f>
        <v>0</v>
      </c>
      <c r="J19" s="7">
        <f>SUMIFS('Source Data'!J$6:J$37,'Source Data'!$B$6:$B$37,$B19)</f>
        <v>0</v>
      </c>
      <c r="K19" s="7">
        <f>SUMIFS('Source Data'!K$6:K$37,'Source Data'!$B$6:$B$37,$B19)</f>
        <v>0</v>
      </c>
      <c r="L19" s="7">
        <f>SUMIFS('Source Data'!L$6:L$37,'Source Data'!$B$6:$B$37,$B19)</f>
        <v>0</v>
      </c>
      <c r="M19" s="7">
        <f>SUMIFS('Source Data'!M$6:M$37,'Source Data'!$B$6:$B$37,$B19)</f>
        <v>0</v>
      </c>
      <c r="N19" s="7">
        <f>SUMIFS('Source Data'!N$6:N$37,'Source Data'!$B$6:$B$37,$B19)</f>
        <v>0</v>
      </c>
      <c r="O19" s="24">
        <f t="shared" si="0"/>
        <v>43111</v>
      </c>
    </row>
    <row r="20" spans="1:15" x14ac:dyDescent="0.3">
      <c r="A20" s="26">
        <v>16</v>
      </c>
      <c r="B20" s="10" t="s">
        <v>60</v>
      </c>
      <c r="C20" s="11">
        <f>SUMIFS('Source Data'!C$6:C$37,'Source Data'!$B$6:$B$37,$B20)</f>
        <v>0</v>
      </c>
      <c r="D20" s="11">
        <f>SUMIFS('Source Data'!D$6:D$37,'Source Data'!$B$6:$B$37,$B20)</f>
        <v>0</v>
      </c>
      <c r="E20" s="11">
        <f>SUMIFS('Source Data'!E$6:E$37,'Source Data'!$B$6:$B$37,$B20)</f>
        <v>0</v>
      </c>
      <c r="F20" s="11">
        <f>SUMIFS('Source Data'!F$6:F$37,'Source Data'!$B$6:$B$37,$B20)</f>
        <v>0</v>
      </c>
      <c r="G20" s="11">
        <f>SUMIFS('Source Data'!G$6:G$37,'Source Data'!$B$6:$B$37,$B20)</f>
        <v>0</v>
      </c>
      <c r="H20" s="11">
        <f>SUMIFS('Source Data'!H$6:H$37,'Source Data'!$B$6:$B$37,$B20)</f>
        <v>1749</v>
      </c>
      <c r="I20" s="11">
        <f>SUMIFS('Source Data'!I$6:I$37,'Source Data'!$B$6:$B$37,$B20)</f>
        <v>0</v>
      </c>
      <c r="J20" s="11">
        <f>SUMIFS('Source Data'!J$6:J$37,'Source Data'!$B$6:$B$37,$B20)</f>
        <v>0</v>
      </c>
      <c r="K20" s="11">
        <f>SUMIFS('Source Data'!K$6:K$37,'Source Data'!$B$6:$B$37,$B20)</f>
        <v>0</v>
      </c>
      <c r="L20" s="11">
        <f>SUMIFS('Source Data'!L$6:L$37,'Source Data'!$B$6:$B$37,$B20)</f>
        <v>0</v>
      </c>
      <c r="M20" s="11">
        <f>SUMIFS('Source Data'!M$6:M$37,'Source Data'!$B$6:$B$37,$B20)</f>
        <v>0</v>
      </c>
      <c r="N20" s="11">
        <f>SUMIFS('Source Data'!N$6:N$37,'Source Data'!$B$6:$B$37,$B20)</f>
        <v>0</v>
      </c>
      <c r="O20" s="27">
        <f t="shared" si="0"/>
        <v>1749</v>
      </c>
    </row>
    <row r="21" spans="1:15" x14ac:dyDescent="0.3">
      <c r="A21" s="25">
        <v>17</v>
      </c>
      <c r="B21" s="6" t="s">
        <v>56</v>
      </c>
      <c r="C21" s="7">
        <f>SUMIFS('Source Data'!C$6:C$37,'Source Data'!$B$6:$B$37,$B21)</f>
        <v>2971</v>
      </c>
      <c r="D21" s="7">
        <f>SUMIFS('Source Data'!D$6:D$37,'Source Data'!$B$6:$B$37,$B21)</f>
        <v>2744</v>
      </c>
      <c r="E21" s="7">
        <f>SUMIFS('Source Data'!E$6:E$37,'Source Data'!$B$6:$B$37,$B21)</f>
        <v>3789</v>
      </c>
      <c r="F21" s="7">
        <f>SUMIFS('Source Data'!F$6:F$37,'Source Data'!$B$6:$B$37,$B21)</f>
        <v>3089</v>
      </c>
      <c r="G21" s="7">
        <f>SUMIFS('Source Data'!G$6:G$37,'Source Data'!$B$6:$B$37,$B21)</f>
        <v>2927</v>
      </c>
      <c r="H21" s="7">
        <f>SUMIFS('Source Data'!H$6:H$37,'Source Data'!$B$6:$B$37,$B21)</f>
        <v>2881</v>
      </c>
      <c r="I21" s="7">
        <f>SUMIFS('Source Data'!I$6:I$37,'Source Data'!$B$6:$B$37,$B21)</f>
        <v>0</v>
      </c>
      <c r="J21" s="7">
        <f>SUMIFS('Source Data'!J$6:J$37,'Source Data'!$B$6:$B$37,$B21)</f>
        <v>0</v>
      </c>
      <c r="K21" s="7">
        <f>SUMIFS('Source Data'!K$6:K$37,'Source Data'!$B$6:$B$37,$B21)</f>
        <v>0</v>
      </c>
      <c r="L21" s="7">
        <f>SUMIFS('Source Data'!L$6:L$37,'Source Data'!$B$6:$B$37,$B21)</f>
        <v>0</v>
      </c>
      <c r="M21" s="7">
        <f>SUMIFS('Source Data'!M$6:M$37,'Source Data'!$B$6:$B$37,$B21)</f>
        <v>0</v>
      </c>
      <c r="N21" s="7">
        <f>SUMIFS('Source Data'!N$6:N$37,'Source Data'!$B$6:$B$37,$B21)</f>
        <v>0</v>
      </c>
      <c r="O21" s="24">
        <f t="shared" si="0"/>
        <v>18401</v>
      </c>
    </row>
    <row r="22" spans="1:15" x14ac:dyDescent="0.3">
      <c r="A22" s="26">
        <v>18</v>
      </c>
      <c r="B22" s="10" t="s">
        <v>62</v>
      </c>
      <c r="C22" s="11">
        <f>SUMIFS('Source Data'!C$6:C$37,'Source Data'!$B$6:$B$37,$B22)</f>
        <v>2893</v>
      </c>
      <c r="D22" s="11">
        <f>SUMIFS('Source Data'!D$6:D$37,'Source Data'!$B$6:$B$37,$B22)</f>
        <v>3760</v>
      </c>
      <c r="E22" s="11">
        <f>SUMIFS('Source Data'!E$6:E$37,'Source Data'!$B$6:$B$37,$B22)</f>
        <v>4650</v>
      </c>
      <c r="F22" s="11">
        <f>SUMIFS('Source Data'!F$6:F$37,'Source Data'!$B$6:$B$37,$B22)</f>
        <v>4491</v>
      </c>
      <c r="G22" s="11">
        <f>SUMIFS('Source Data'!G$6:G$37,'Source Data'!$B$6:$B$37,$B22)</f>
        <v>5178</v>
      </c>
      <c r="H22" s="11">
        <f>SUMIFS('Source Data'!H$6:H$37,'Source Data'!$B$6:$B$37,$B22)</f>
        <v>5565</v>
      </c>
      <c r="I22" s="11">
        <f>SUMIFS('Source Data'!I$6:I$37,'Source Data'!$B$6:$B$37,$B22)</f>
        <v>0</v>
      </c>
      <c r="J22" s="11">
        <f>SUMIFS('Source Data'!J$6:J$37,'Source Data'!$B$6:$B$37,$B22)</f>
        <v>0</v>
      </c>
      <c r="K22" s="11">
        <f>SUMIFS('Source Data'!K$6:K$37,'Source Data'!$B$6:$B$37,$B22)</f>
        <v>0</v>
      </c>
      <c r="L22" s="11">
        <f>SUMIFS('Source Data'!L$6:L$37,'Source Data'!$B$6:$B$37,$B22)</f>
        <v>0</v>
      </c>
      <c r="M22" s="11">
        <f>SUMIFS('Source Data'!M$6:M$37,'Source Data'!$B$6:$B$37,$B22)</f>
        <v>0</v>
      </c>
      <c r="N22" s="11">
        <f>SUMIFS('Source Data'!N$6:N$37,'Source Data'!$B$6:$B$37,$B22)</f>
        <v>0</v>
      </c>
      <c r="O22" s="27">
        <f t="shared" si="0"/>
        <v>26537</v>
      </c>
    </row>
    <row r="23" spans="1:15" x14ac:dyDescent="0.3">
      <c r="A23" s="25">
        <v>19</v>
      </c>
      <c r="B23" s="6" t="s">
        <v>74</v>
      </c>
      <c r="C23" s="7">
        <f>SUMIFS('Source Data'!C$6:C$37,'Source Data'!$B$6:$B$37,$B23)</f>
        <v>15659</v>
      </c>
      <c r="D23" s="7">
        <f>SUMIFS('Source Data'!D$6:D$37,'Source Data'!$B$6:$B$37,$B23)</f>
        <v>14366</v>
      </c>
      <c r="E23" s="7">
        <f>SUMIFS('Source Data'!E$6:E$37,'Source Data'!$B$6:$B$37,$B23)</f>
        <v>15148</v>
      </c>
      <c r="F23" s="7">
        <f>SUMIFS('Source Data'!F$6:F$37,'Source Data'!$B$6:$B$37,$B23)</f>
        <v>14842</v>
      </c>
      <c r="G23" s="7">
        <f>SUMIFS('Source Data'!G$6:G$37,'Source Data'!$B$6:$B$37,$B23)</f>
        <v>18020</v>
      </c>
      <c r="H23" s="7">
        <f>SUMIFS('Source Data'!H$6:H$37,'Source Data'!$B$6:$B$37,$B23)</f>
        <v>16117</v>
      </c>
      <c r="I23" s="7">
        <f>SUMIFS('Source Data'!I$6:I$37,'Source Data'!$B$6:$B$37,$B23)</f>
        <v>0</v>
      </c>
      <c r="J23" s="7">
        <f>SUMIFS('Source Data'!J$6:J$37,'Source Data'!$B$6:$B$37,$B23)</f>
        <v>0</v>
      </c>
      <c r="K23" s="7">
        <f>SUMIFS('Source Data'!K$6:K$37,'Source Data'!$B$6:$B$37,$B23)</f>
        <v>0</v>
      </c>
      <c r="L23" s="7">
        <f>SUMIFS('Source Data'!L$6:L$37,'Source Data'!$B$6:$B$37,$B23)</f>
        <v>0</v>
      </c>
      <c r="M23" s="7">
        <f>SUMIFS('Source Data'!M$6:M$37,'Source Data'!$B$6:$B$37,$B23)</f>
        <v>0</v>
      </c>
      <c r="N23" s="7">
        <f>SUMIFS('Source Data'!N$6:N$37,'Source Data'!$B$6:$B$37,$B23)</f>
        <v>0</v>
      </c>
      <c r="O23" s="24">
        <f t="shared" si="0"/>
        <v>94152</v>
      </c>
    </row>
    <row r="24" spans="1:15" x14ac:dyDescent="0.3">
      <c r="A24" s="26">
        <v>20</v>
      </c>
      <c r="B24" s="10" t="s">
        <v>71</v>
      </c>
      <c r="C24" s="11">
        <f>SUMIFS('Source Data'!C$6:C$37,'Source Data'!$B$6:$B$37,$B24)</f>
        <v>6987</v>
      </c>
      <c r="D24" s="11">
        <f>SUMIFS('Source Data'!D$6:D$37,'Source Data'!$B$6:$B$37,$B24)</f>
        <v>8919</v>
      </c>
      <c r="E24" s="11">
        <f>SUMIFS('Source Data'!E$6:E$37,'Source Data'!$B$6:$B$37,$B24)</f>
        <v>4515</v>
      </c>
      <c r="F24" s="11">
        <f>SUMIFS('Source Data'!F$6:F$37,'Source Data'!$B$6:$B$37,$B24)</f>
        <v>5341</v>
      </c>
      <c r="G24" s="11">
        <f>SUMIFS('Source Data'!G$6:G$37,'Source Data'!$B$6:$B$37,$B24)</f>
        <v>6152</v>
      </c>
      <c r="H24" s="11">
        <f>SUMIFS('Source Data'!H$6:H$37,'Source Data'!$B$6:$B$37,$B24)</f>
        <v>4183</v>
      </c>
      <c r="I24" s="11">
        <f>SUMIFS('Source Data'!I$6:I$37,'Source Data'!$B$6:$B$37,$B24)</f>
        <v>0</v>
      </c>
      <c r="J24" s="11">
        <f>SUMIFS('Source Data'!J$6:J$37,'Source Data'!$B$6:$B$37,$B24)</f>
        <v>0</v>
      </c>
      <c r="K24" s="11">
        <f>SUMIFS('Source Data'!K$6:K$37,'Source Data'!$B$6:$B$37,$B24)</f>
        <v>0</v>
      </c>
      <c r="L24" s="11">
        <f>SUMIFS('Source Data'!L$6:L$37,'Source Data'!$B$6:$B$37,$B24)</f>
        <v>0</v>
      </c>
      <c r="M24" s="11">
        <f>SUMIFS('Source Data'!M$6:M$37,'Source Data'!$B$6:$B$37,$B24)</f>
        <v>0</v>
      </c>
      <c r="N24" s="11">
        <f>SUMIFS('Source Data'!N$6:N$37,'Source Data'!$B$6:$B$37,$B24)</f>
        <v>0</v>
      </c>
      <c r="O24" s="27">
        <f t="shared" si="0"/>
        <v>36097</v>
      </c>
    </row>
    <row r="25" spans="1:15" x14ac:dyDescent="0.3">
      <c r="A25" s="25">
        <v>21</v>
      </c>
      <c r="B25" s="6" t="s">
        <v>52</v>
      </c>
      <c r="C25" s="7">
        <f>SUMIFS('Source Data'!C$6:C$37,'Source Data'!$B$6:$B$37,$B25)</f>
        <v>15401</v>
      </c>
      <c r="D25" s="7">
        <f>SUMIFS('Source Data'!D$6:D$37,'Source Data'!$B$6:$B$37,$B25)</f>
        <v>14614</v>
      </c>
      <c r="E25" s="7">
        <f>SUMIFS('Source Data'!E$6:E$37,'Source Data'!$B$6:$B$37,$B25)</f>
        <v>17959</v>
      </c>
      <c r="F25" s="7">
        <f>SUMIFS('Source Data'!F$6:F$37,'Source Data'!$B$6:$B$37,$B25)</f>
        <v>7155</v>
      </c>
      <c r="G25" s="7">
        <f>SUMIFS('Source Data'!G$6:G$37,'Source Data'!$B$6:$B$37,$B25)</f>
        <v>13269</v>
      </c>
      <c r="H25" s="7">
        <f>SUMIFS('Source Data'!H$6:H$37,'Source Data'!$B$6:$B$37,$B25)</f>
        <v>7259</v>
      </c>
      <c r="I25" s="7">
        <f>SUMIFS('Source Data'!I$6:I$37,'Source Data'!$B$6:$B$37,$B25)</f>
        <v>0</v>
      </c>
      <c r="J25" s="7">
        <f>SUMIFS('Source Data'!J$6:J$37,'Source Data'!$B$6:$B$37,$B25)</f>
        <v>0</v>
      </c>
      <c r="K25" s="7">
        <f>SUMIFS('Source Data'!K$6:K$37,'Source Data'!$B$6:$B$37,$B25)</f>
        <v>0</v>
      </c>
      <c r="L25" s="7">
        <f>SUMIFS('Source Data'!L$6:L$37,'Source Data'!$B$6:$B$37,$B25)</f>
        <v>0</v>
      </c>
      <c r="M25" s="7">
        <f>SUMIFS('Source Data'!M$6:M$37,'Source Data'!$B$6:$B$37,$B25)</f>
        <v>0</v>
      </c>
      <c r="N25" s="7">
        <f>SUMIFS('Source Data'!N$6:N$37,'Source Data'!$B$6:$B$37,$B25)</f>
        <v>0</v>
      </c>
      <c r="O25" s="24">
        <f t="shared" si="0"/>
        <v>75657</v>
      </c>
    </row>
    <row r="26" spans="1:15" x14ac:dyDescent="0.3">
      <c r="A26" s="26">
        <v>22</v>
      </c>
      <c r="B26" s="10" t="s">
        <v>134</v>
      </c>
      <c r="C26" s="11">
        <f>SUMIFS('Source Data'!C$6:C$37,'Source Data'!$B$6:$B$37,$B26)</f>
        <v>0</v>
      </c>
      <c r="D26" s="11">
        <f>SUMIFS('Source Data'!D$6:D$37,'Source Data'!$B$6:$B$37,$B26)</f>
        <v>0</v>
      </c>
      <c r="E26" s="11">
        <f>SUMIFS('Source Data'!E$6:E$37,'Source Data'!$B$6:$B$37,$B26)</f>
        <v>0</v>
      </c>
      <c r="F26" s="11">
        <f>SUMIFS('Source Data'!F$6:F$37,'Source Data'!$B$6:$B$37,$B26)</f>
        <v>0</v>
      </c>
      <c r="G26" s="11">
        <f>SUMIFS('Source Data'!G$6:G$37,'Source Data'!$B$6:$B$37,$B26)</f>
        <v>0</v>
      </c>
      <c r="H26" s="11">
        <f>SUMIFS('Source Data'!H$6:H$37,'Source Data'!$B$6:$B$37,$B26)</f>
        <v>0</v>
      </c>
      <c r="I26" s="11">
        <f>SUMIFS('Source Data'!I$6:I$37,'Source Data'!$B$6:$B$37,$B26)</f>
        <v>0</v>
      </c>
      <c r="J26" s="11">
        <f>SUMIFS('Source Data'!J$6:J$37,'Source Data'!$B$6:$B$37,$B26)</f>
        <v>0</v>
      </c>
      <c r="K26" s="11">
        <f>SUMIFS('Source Data'!K$6:K$37,'Source Data'!$B$6:$B$37,$B26)</f>
        <v>0</v>
      </c>
      <c r="L26" s="11">
        <f>SUMIFS('Source Data'!L$6:L$37,'Source Data'!$B$6:$B$37,$B26)</f>
        <v>0</v>
      </c>
      <c r="M26" s="11">
        <f>SUMIFS('Source Data'!M$6:M$37,'Source Data'!$B$6:$B$37,$B26)</f>
        <v>0</v>
      </c>
      <c r="N26" s="11">
        <f>SUMIFS('Source Data'!N$6:N$37,'Source Data'!$B$6:$B$37,$B26)</f>
        <v>0</v>
      </c>
      <c r="O26" s="27">
        <f t="shared" si="0"/>
        <v>0</v>
      </c>
    </row>
    <row r="27" spans="1:15" x14ac:dyDescent="0.3">
      <c r="A27" s="25">
        <v>23</v>
      </c>
      <c r="B27" s="6" t="s">
        <v>135</v>
      </c>
      <c r="C27" s="7">
        <f>SUMIFS('Source Data'!C$6:C$37,'Source Data'!$B$6:$B$37,$B27)</f>
        <v>0</v>
      </c>
      <c r="D27" s="7">
        <f>SUMIFS('Source Data'!D$6:D$37,'Source Data'!$B$6:$B$37,$B27)</f>
        <v>0</v>
      </c>
      <c r="E27" s="7">
        <f>SUMIFS('Source Data'!E$6:E$37,'Source Data'!$B$6:$B$37,$B27)</f>
        <v>0</v>
      </c>
      <c r="F27" s="7">
        <f>SUMIFS('Source Data'!F$6:F$37,'Source Data'!$B$6:$B$37,$B27)</f>
        <v>0</v>
      </c>
      <c r="G27" s="7">
        <f>SUMIFS('Source Data'!G$6:G$37,'Source Data'!$B$6:$B$37,$B27)</f>
        <v>0</v>
      </c>
      <c r="H27" s="7">
        <f>SUMIFS('Source Data'!H$6:H$37,'Source Data'!$B$6:$B$37,$B27)</f>
        <v>0</v>
      </c>
      <c r="I27" s="7">
        <f>SUMIFS('Source Data'!I$6:I$37,'Source Data'!$B$6:$B$37,$B27)</f>
        <v>0</v>
      </c>
      <c r="J27" s="7">
        <f>SUMIFS('Source Data'!J$6:J$37,'Source Data'!$B$6:$B$37,$B27)</f>
        <v>0</v>
      </c>
      <c r="K27" s="7">
        <f>SUMIFS('Source Data'!K$6:K$37,'Source Data'!$B$6:$B$37,$B27)</f>
        <v>0</v>
      </c>
      <c r="L27" s="7">
        <f>SUMIFS('Source Data'!L$6:L$37,'Source Data'!$B$6:$B$37,$B27)</f>
        <v>0</v>
      </c>
      <c r="M27" s="7">
        <f>SUMIFS('Source Data'!M$6:M$37,'Source Data'!$B$6:$B$37,$B27)</f>
        <v>0</v>
      </c>
      <c r="N27" s="7">
        <f>SUMIFS('Source Data'!N$6:N$37,'Source Data'!$B$6:$B$37,$B27)</f>
        <v>0</v>
      </c>
      <c r="O27" s="24">
        <f t="shared" si="0"/>
        <v>0</v>
      </c>
    </row>
    <row r="28" spans="1:15" x14ac:dyDescent="0.3">
      <c r="A28" s="28"/>
      <c r="B28" s="14" t="s">
        <v>136</v>
      </c>
      <c r="C28" s="15">
        <f t="shared" ref="C28:O28" si="1">SUM(C5:C27)</f>
        <v>272697</v>
      </c>
      <c r="D28" s="15">
        <f t="shared" si="1"/>
        <v>217880</v>
      </c>
      <c r="E28" s="15">
        <f t="shared" si="1"/>
        <v>273042</v>
      </c>
      <c r="F28" s="15">
        <f t="shared" si="1"/>
        <v>215321</v>
      </c>
      <c r="G28" s="15">
        <f t="shared" si="1"/>
        <v>274525</v>
      </c>
      <c r="H28" s="15">
        <f t="shared" si="1"/>
        <v>250818</v>
      </c>
      <c r="I28" s="15">
        <f t="shared" si="1"/>
        <v>0</v>
      </c>
      <c r="J28" s="15">
        <f t="shared" si="1"/>
        <v>0</v>
      </c>
      <c r="K28" s="15">
        <f t="shared" si="1"/>
        <v>0</v>
      </c>
      <c r="L28" s="15">
        <f t="shared" si="1"/>
        <v>0</v>
      </c>
      <c r="M28" s="15">
        <f t="shared" si="1"/>
        <v>0</v>
      </c>
      <c r="N28" s="15">
        <f t="shared" si="1"/>
        <v>0</v>
      </c>
      <c r="O28" s="15">
        <f t="shared" si="1"/>
        <v>1504283</v>
      </c>
    </row>
    <row r="30" spans="1:15" x14ac:dyDescent="0.3">
      <c r="B30" s="29"/>
    </row>
    <row r="31" spans="1:15" x14ac:dyDescent="0.3">
      <c r="B31" s="21"/>
    </row>
    <row r="32" spans="1:15" x14ac:dyDescent="0.3">
      <c r="B32" s="21"/>
    </row>
    <row r="33" spans="2:2" x14ac:dyDescent="0.3">
      <c r="B33" s="21"/>
    </row>
    <row r="34" spans="2:2" x14ac:dyDescent="0.3">
      <c r="B34" s="21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Source Data</vt:lpstr>
      <vt:lpstr>Machine Analysis</vt:lpstr>
      <vt:lpstr>Facility Analysis</vt:lpstr>
      <vt:lpstr>Process-wise 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Zahid Sajjad</cp:lastModifiedBy>
  <cp:revision>1</cp:revision>
  <dcterms:created xsi:type="dcterms:W3CDTF">2026-07-15T05:59:11Z</dcterms:created>
  <dcterms:modified xsi:type="dcterms:W3CDTF">2026-07-20T08:57:11Z</dcterms:modified>
  <dc:language>en-US</dc:language>
</cp:coreProperties>
</file>